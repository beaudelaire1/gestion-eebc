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5b86f63869d675/Bureau/eebc_project/"/>
    </mc:Choice>
  </mc:AlternateContent>
  <xr:revisionPtr revIDLastSave="379" documentId="8_{7DD881B0-E220-48B8-8B09-99EBE9B58F9B}" xr6:coauthVersionLast="47" xr6:coauthVersionMax="47" xr10:uidLastSave="{37BA3C7A-2BFC-4437-A0B1-89B8E5B335FB}"/>
  <bookViews>
    <workbookView xWindow="600" yWindow="30" windowWidth="18570" windowHeight="10750" xr2:uid="{1A140900-9E4D-4F66-9D74-18683C02E188}"/>
  </bookViews>
  <sheets>
    <sheet name="BILAN FONCTIONNEL" sheetId="1" r:id="rId1"/>
    <sheet name="RESULTAT" sheetId="2" r:id="rId2"/>
    <sheet name="BILAN PREVISIONNEL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31" i="1"/>
  <c r="J51" i="1"/>
  <c r="N8" i="1"/>
  <c r="I17" i="1"/>
  <c r="J17" i="1"/>
  <c r="K17" i="1"/>
  <c r="N17" i="1"/>
  <c r="O17" i="1"/>
  <c r="P17" i="1"/>
  <c r="C30" i="1" l="1"/>
  <c r="N33" i="1"/>
  <c r="C27" i="1"/>
  <c r="C26" i="1"/>
  <c r="C47" i="1"/>
  <c r="C44" i="1"/>
  <c r="C48" i="1"/>
  <c r="C35" i="1"/>
  <c r="C29" i="1"/>
  <c r="J55" i="1" l="1"/>
  <c r="I55" i="1"/>
  <c r="C36" i="1"/>
  <c r="C34" i="1"/>
  <c r="B13" i="2"/>
  <c r="H142" i="1"/>
  <c r="D4" i="3"/>
  <c r="D33" i="3" s="1"/>
  <c r="O55" i="1"/>
  <c r="C33" i="3"/>
  <c r="B33" i="3"/>
  <c r="E33" i="3"/>
  <c r="D17" i="3"/>
  <c r="G6" i="3"/>
  <c r="C15" i="2" l="1"/>
  <c r="C18" i="2" s="1"/>
  <c r="C20" i="2" s="1"/>
  <c r="C28" i="2" s="1"/>
  <c r="J33" i="3"/>
  <c r="B56" i="1"/>
  <c r="P55" i="1"/>
  <c r="N55" i="1"/>
  <c r="K55" i="1"/>
  <c r="C56" i="1"/>
  <c r="P41" i="1"/>
  <c r="O41" i="1"/>
  <c r="N41" i="1"/>
  <c r="K40" i="1"/>
  <c r="J40" i="1"/>
  <c r="I40" i="1"/>
  <c r="P33" i="1"/>
  <c r="O33" i="1"/>
  <c r="K33" i="1"/>
  <c r="J33" i="1"/>
  <c r="I33" i="1"/>
  <c r="U28" i="1"/>
  <c r="S26" i="1"/>
  <c r="K25" i="1"/>
  <c r="J25" i="1"/>
  <c r="I25" i="1"/>
  <c r="P24" i="1"/>
  <c r="O24" i="1"/>
  <c r="N24" i="1"/>
  <c r="P9" i="1"/>
  <c r="O9" i="1"/>
  <c r="N9" i="1"/>
  <c r="K9" i="1"/>
  <c r="J9" i="1"/>
  <c r="I9" i="1"/>
  <c r="G6" i="1" l="1"/>
  <c r="F6" i="1"/>
  <c r="B16" i="1" s="1"/>
  <c r="E6" i="1"/>
  <c r="B17" i="1" s="1"/>
  <c r="C67" i="1"/>
  <c r="D63" i="1"/>
  <c r="D67" i="1" s="1"/>
  <c r="B20" i="1" l="1"/>
  <c r="C63" i="1" s="1"/>
  <c r="C7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Judith</author>
  </authors>
  <commentList>
    <comment ref="A24" authorId="0" shapeId="0" xr:uid="{EFBB5872-5190-4004-A3DA-C1E16C7D7B6C}">
      <text>
        <r>
          <rPr>
            <b/>
            <sz val="9"/>
            <color indexed="81"/>
            <rFont val="Tahoma"/>
            <family val="2"/>
          </rPr>
          <t>JOSEPH Judith:</t>
        </r>
        <r>
          <rPr>
            <sz val="9"/>
            <color indexed="81"/>
            <rFont val="Tahoma"/>
            <family val="2"/>
          </rPr>
          <t xml:space="preserve">
Evier à acheter</t>
        </r>
      </text>
    </comment>
  </commentList>
</comments>
</file>

<file path=xl/sharedStrings.xml><?xml version="1.0" encoding="utf-8"?>
<sst xmlns="http://schemas.openxmlformats.org/spreadsheetml/2006/main" count="115" uniqueCount="106">
  <si>
    <t xml:space="preserve">                         ÉGLISE EVANGELIQUE BAPTISTE DE CAYENNE </t>
  </si>
  <si>
    <t xml:space="preserve">                                  5, Lot. CALIMBE II 97 300 CAYENNE</t>
  </si>
  <si>
    <t>totaux</t>
  </si>
  <si>
    <t xml:space="preserve">offrandes </t>
  </si>
  <si>
    <t xml:space="preserve">dimes </t>
  </si>
  <si>
    <t>janvier</t>
  </si>
  <si>
    <t>jullet</t>
  </si>
  <si>
    <t>fevrier</t>
  </si>
  <si>
    <t>aout</t>
  </si>
  <si>
    <t>Offrandes</t>
  </si>
  <si>
    <t xml:space="preserve">mars </t>
  </si>
  <si>
    <t>septempbre</t>
  </si>
  <si>
    <t>TOTAL OFFRANDES ET DÎMES</t>
  </si>
  <si>
    <t>Désignation</t>
  </si>
  <si>
    <t>E .D . F</t>
  </si>
  <si>
    <t>S.G.D.E</t>
  </si>
  <si>
    <t>avril</t>
  </si>
  <si>
    <t>octobre</t>
  </si>
  <si>
    <t>Frais de tenue de compte</t>
  </si>
  <si>
    <t>Salaire du Pasteur</t>
  </si>
  <si>
    <t xml:space="preserve">AG2R </t>
  </si>
  <si>
    <t>Loyer Macouria</t>
  </si>
  <si>
    <t>Cotisation à la fédération Baptiste</t>
  </si>
  <si>
    <t>Orange</t>
  </si>
  <si>
    <t>CHERY Dieula</t>
  </si>
  <si>
    <t>mai</t>
  </si>
  <si>
    <t>novembre</t>
  </si>
  <si>
    <t>Groupama Assurance</t>
  </si>
  <si>
    <t>juin</t>
  </si>
  <si>
    <t xml:space="preserve">decembre </t>
  </si>
  <si>
    <t>Total des dépenses</t>
  </si>
  <si>
    <t>BILAN FONCTIONNEMENT NORMAL</t>
  </si>
  <si>
    <t>DEPENSES</t>
  </si>
  <si>
    <t>RESULTAT</t>
  </si>
  <si>
    <t xml:space="preserve">ÉGLISE EVANGELIQUE BAPTISTE DE CAYENNE </t>
  </si>
  <si>
    <t>5, Lot. CALIMBE II 97 300 CAYENNE</t>
  </si>
  <si>
    <t>RESULTATS FINAUX</t>
  </si>
  <si>
    <t>TOTAL</t>
  </si>
  <si>
    <t xml:space="preserve">Salaire novembre - décembre </t>
  </si>
  <si>
    <t>Cotisation Fédération</t>
  </si>
  <si>
    <t>Méga briel (chaises)</t>
  </si>
  <si>
    <t>ANNEES</t>
  </si>
  <si>
    <t xml:space="preserve">DEPENSES </t>
  </si>
  <si>
    <t>RECETTES</t>
  </si>
  <si>
    <t xml:space="preserve">Eau </t>
  </si>
  <si>
    <t>Electricité</t>
  </si>
  <si>
    <t xml:space="preserve">Orange </t>
  </si>
  <si>
    <t xml:space="preserve">Produit d'entretien + produits sainte cène </t>
  </si>
  <si>
    <t>Salaires pasteur</t>
  </si>
  <si>
    <t>Cotisation à la fédération</t>
  </si>
  <si>
    <t>Fourniture de matériel (sonorisation)</t>
  </si>
  <si>
    <t>Diverses prestations pour la sécurité de l'Eglise</t>
  </si>
  <si>
    <t>Charges sociales</t>
  </si>
  <si>
    <t>Services bancaires</t>
  </si>
  <si>
    <t>Mise aux normes electricité</t>
  </si>
  <si>
    <t>Consuel</t>
  </si>
  <si>
    <t>Extincteurs</t>
  </si>
  <si>
    <t>Dons divers</t>
  </si>
  <si>
    <t>Assurances</t>
  </si>
  <si>
    <t xml:space="preserve">Club biblique </t>
  </si>
  <si>
    <t>La Jeunesse</t>
  </si>
  <si>
    <t>The Ray Of Sunshine</t>
  </si>
  <si>
    <t xml:space="preserve">Dons Humanitaire </t>
  </si>
  <si>
    <t>Dimes</t>
  </si>
  <si>
    <t>Total</t>
  </si>
  <si>
    <t xml:space="preserve">A revoir les charges sociales pour le salaire du pasteur : A VERIFIER </t>
  </si>
  <si>
    <t>entre 8 % et 20% (URSSAF)</t>
  </si>
  <si>
    <t>Budget prévisionnel de l'Église pour 2025</t>
  </si>
  <si>
    <t>Dépenses internes de l'année 2024</t>
  </si>
  <si>
    <t xml:space="preserve">Produits d'entretien Sainte cène </t>
  </si>
  <si>
    <t>MUSIQUE ET SON</t>
  </si>
  <si>
    <t>Dons divers MANA</t>
  </si>
  <si>
    <t xml:space="preserve">Plafond à revoir </t>
  </si>
  <si>
    <t>AIDE MANA</t>
  </si>
  <si>
    <t>CLUB BIBLIQUE</t>
  </si>
  <si>
    <t>Solde au 31/12/2024</t>
  </si>
  <si>
    <t>BILAN FINANCIER DE L'AN 2025</t>
  </si>
  <si>
    <t xml:space="preserve">  </t>
  </si>
  <si>
    <t>VENTE BIBLES</t>
  </si>
  <si>
    <t>Avoir au 31 décembre 2024</t>
  </si>
  <si>
    <t>FETE DE FIN D'ANNEES</t>
  </si>
  <si>
    <t>COURS DE CHANT</t>
  </si>
  <si>
    <t>ACHAT CHAISES</t>
  </si>
  <si>
    <t>Recettes 2025</t>
  </si>
  <si>
    <t>Dépenses 2025</t>
  </si>
  <si>
    <t>LC location</t>
  </si>
  <si>
    <t>CRIQUE COCO</t>
  </si>
  <si>
    <t>CHRONO CLIM</t>
  </si>
  <si>
    <t>GROUPE DE JEUNES</t>
  </si>
  <si>
    <t>GUYANAISE DISTRIBUTION</t>
  </si>
  <si>
    <t>TOTAL GENERAL INTERNE CREDITEUR  AU 31/12/2025</t>
  </si>
  <si>
    <t>DONS enterrement Edna</t>
  </si>
  <si>
    <t>Solde Total en Banque au 31 Décembre 2025</t>
  </si>
  <si>
    <t>DON MANA</t>
  </si>
  <si>
    <t>DON SONO</t>
  </si>
  <si>
    <t>CAISSE DE FONCTIONNEMENT AU 31/12/2025</t>
  </si>
  <si>
    <t>HUPER U</t>
  </si>
  <si>
    <t>GIFI</t>
  </si>
  <si>
    <t>FOND POUR CHAISE</t>
  </si>
  <si>
    <t>Don pour un frère parti en étude</t>
  </si>
  <si>
    <t xml:space="preserve">DON REMIS AU FRERE </t>
  </si>
  <si>
    <t>CGSS GUYANE - URSAFF</t>
  </si>
  <si>
    <t>Solde Total en Banque au 31 Décembre 2025 tous fonds confondus</t>
  </si>
  <si>
    <t xml:space="preserve">Solde Total en Banque au 31 Décembre 2025 concernant que l'église Baptiste </t>
  </si>
  <si>
    <t>Recettes de l'année 2025</t>
  </si>
  <si>
    <t>MATERIELS DE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</si>
</sst>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_(&quot;€&quot;* #,##0.00_);_(&quot;€&quot;* \(#,##0.00\);_(&quot;€&quot;* &quot;-&quot;??_);_(@_)"/>
    <numFmt numFmtId="165" formatCode="_-* #,##0.00\ [$€-40C]_-;\-* #,##0.00\ [$€-40C]_-;_-* &quot;-&quot;??\ [$€-40C]_-;_-@_-"/>
    <numFmt numFmtId="166" formatCode="#,##0.00\ &quot;€&quot;"/>
    <numFmt numFmtId="167" formatCode="&quot;€&quot;#,##0.00_);[Red]\(&quot;€&quot;#,##0.00\)"/>
    <numFmt numFmtId="168" formatCode="&quot;€&quot;#,##0.00_);\(&quot;€&quot;#,##0.00\)"/>
    <numFmt numFmtId="169" formatCode="_-* #,##0.00&quot; €&quot;_-;\-* #,##0.00&quot; €&quot;_-;_-* \-??&quot; €&quot;_-;_-@_-"/>
    <numFmt numFmtId="170" formatCode="#,##0_ ;\-#,##0\ "/>
    <numFmt numFmtId="171" formatCode="_(* #,##0.00_);_(* \(#,##0.00\);_(* &quot;-&quot;??_);_(@_)"/>
    <numFmt numFmtId="172" formatCode="#,##0.00\ [$€-40C];[Red]\-#,##0.00\ [$€-40C]"/>
    <numFmt numFmtId="173" formatCode="_-* #,##0.00\ _€_-;\-* #,##0.00\ _€_-;_-* &quot;-&quot;??\ _€_-;_-@_-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6"/>
      <color theme="3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b/>
      <sz val="12"/>
      <color theme="1"/>
      <name val="Aptos Narrow"/>
      <family val="2"/>
      <scheme val="minor"/>
    </font>
    <font>
      <b/>
      <sz val="16"/>
      <color rgb="FF006600"/>
      <name val="Arial"/>
      <family val="2"/>
    </font>
    <font>
      <b/>
      <sz val="16"/>
      <color rgb="FFFF0000"/>
      <name val="Arial"/>
      <family val="2"/>
    </font>
    <font>
      <sz val="16"/>
      <color rgb="FFFF000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b/>
      <sz val="18"/>
      <name val="Arial"/>
      <family val="2"/>
    </font>
    <font>
      <sz val="18"/>
      <color theme="1"/>
      <name val="Aptos Narrow"/>
      <family val="2"/>
      <scheme val="minor"/>
    </font>
    <font>
      <sz val="18"/>
      <name val="Arial"/>
      <family val="2"/>
    </font>
    <font>
      <b/>
      <sz val="18"/>
      <color theme="3"/>
      <name val="Arial"/>
      <family val="2"/>
    </font>
    <font>
      <b/>
      <i/>
      <sz val="18"/>
      <name val="Arial"/>
      <family val="2"/>
    </font>
    <font>
      <b/>
      <sz val="18"/>
      <color theme="3" tint="0.399975585192419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40"/>
      </patternFill>
    </fill>
    <fill>
      <patternFill patternType="solid">
        <fgColor rgb="FF92D05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212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165" fontId="7" fillId="0" borderId="0" xfId="1" applyNumberFormat="1" applyFont="1"/>
    <xf numFmtId="44" fontId="7" fillId="0" borderId="0" xfId="1" applyFont="1"/>
    <xf numFmtId="0" fontId="7" fillId="0" borderId="0" xfId="0" applyFont="1"/>
    <xf numFmtId="0" fontId="11" fillId="0" borderId="0" xfId="0" applyFont="1"/>
    <xf numFmtId="0" fontId="13" fillId="0" borderId="0" xfId="0" applyFont="1"/>
    <xf numFmtId="167" fontId="0" fillId="0" borderId="0" xfId="0" applyNumberFormat="1"/>
    <xf numFmtId="0" fontId="8" fillId="0" borderId="19" xfId="0" applyFont="1" applyBorder="1" applyAlignment="1">
      <alignment wrapText="1"/>
    </xf>
    <xf numFmtId="0" fontId="8" fillId="0" borderId="21" xfId="0" applyFont="1" applyBorder="1" applyAlignment="1">
      <alignment wrapText="1"/>
    </xf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0" fillId="0" borderId="0" xfId="0" applyProtection="1">
      <protection locked="0"/>
    </xf>
    <xf numFmtId="0" fontId="14" fillId="0" borderId="0" xfId="0" applyFont="1" applyAlignment="1">
      <alignment horizontal="left" wrapText="1" indent="3"/>
    </xf>
    <xf numFmtId="0" fontId="2" fillId="0" borderId="0" xfId="0" applyFont="1"/>
    <xf numFmtId="0" fontId="15" fillId="0" borderId="0" xfId="0" applyFont="1"/>
    <xf numFmtId="0" fontId="3" fillId="0" borderId="46" xfId="0" applyFont="1" applyBorder="1"/>
    <xf numFmtId="0" fontId="14" fillId="0" borderId="23" xfId="0" applyFont="1" applyBorder="1" applyAlignment="1">
      <alignment horizontal="left" wrapText="1" indent="3"/>
    </xf>
    <xf numFmtId="0" fontId="0" fillId="0" borderId="47" xfId="0" applyBorder="1"/>
    <xf numFmtId="0" fontId="0" fillId="0" borderId="48" xfId="0" applyBorder="1"/>
    <xf numFmtId="0" fontId="5" fillId="0" borderId="49" xfId="0" applyFont="1" applyBorder="1" applyAlignment="1">
      <alignment horizontal="left" wrapText="1" indent="3"/>
    </xf>
    <xf numFmtId="165" fontId="4" fillId="0" borderId="50" xfId="0" applyNumberFormat="1" applyFont="1" applyBorder="1"/>
    <xf numFmtId="0" fontId="4" fillId="0" borderId="51" xfId="0" applyFont="1" applyBorder="1"/>
    <xf numFmtId="0" fontId="8" fillId="0" borderId="17" xfId="0" applyFont="1" applyBorder="1" applyAlignment="1">
      <alignment wrapText="1"/>
    </xf>
    <xf numFmtId="165" fontId="12" fillId="0" borderId="18" xfId="1" applyNumberFormat="1" applyFont="1" applyBorder="1"/>
    <xf numFmtId="168" fontId="8" fillId="0" borderId="52" xfId="1" applyNumberFormat="1" applyFont="1" applyBorder="1"/>
    <xf numFmtId="165" fontId="12" fillId="0" borderId="20" xfId="1" applyNumberFormat="1" applyFont="1" applyBorder="1"/>
    <xf numFmtId="168" fontId="8" fillId="0" borderId="53" xfId="1" applyNumberFormat="1" applyFont="1" applyBorder="1"/>
    <xf numFmtId="0" fontId="5" fillId="0" borderId="19" xfId="0" applyFont="1" applyBorder="1" applyAlignment="1">
      <alignment horizontal="left" wrapText="1"/>
    </xf>
    <xf numFmtId="165" fontId="5" fillId="0" borderId="20" xfId="1" applyNumberFormat="1" applyFont="1" applyBorder="1"/>
    <xf numFmtId="168" fontId="5" fillId="0" borderId="53" xfId="1" applyNumberFormat="1" applyFont="1" applyBorder="1"/>
    <xf numFmtId="168" fontId="12" fillId="0" borderId="22" xfId="1" applyNumberFormat="1" applyFont="1" applyBorder="1"/>
    <xf numFmtId="168" fontId="8" fillId="0" borderId="54" xfId="1" applyNumberFormat="1" applyFont="1" applyBorder="1"/>
    <xf numFmtId="0" fontId="5" fillId="0" borderId="49" xfId="0" applyFont="1" applyBorder="1" applyAlignment="1">
      <alignment vertical="center" wrapText="1"/>
    </xf>
    <xf numFmtId="0" fontId="5" fillId="0" borderId="55" xfId="0" applyFont="1" applyBorder="1" applyAlignment="1">
      <alignment vertical="center" wrapText="1"/>
    </xf>
    <xf numFmtId="165" fontId="16" fillId="4" borderId="51" xfId="1" applyNumberFormat="1" applyFont="1" applyFill="1" applyBorder="1" applyAlignment="1">
      <alignment vertical="center"/>
    </xf>
    <xf numFmtId="168" fontId="8" fillId="0" borderId="18" xfId="1" applyNumberFormat="1" applyFont="1" applyBorder="1"/>
    <xf numFmtId="168" fontId="9" fillId="0" borderId="18" xfId="1" applyNumberFormat="1" applyFont="1" applyBorder="1"/>
    <xf numFmtId="0" fontId="0" fillId="0" borderId="53" xfId="0" applyBorder="1"/>
    <xf numFmtId="0" fontId="8" fillId="5" borderId="30" xfId="0" applyFont="1" applyFill="1" applyBorder="1" applyAlignment="1">
      <alignment vertical="center" wrapText="1"/>
    </xf>
    <xf numFmtId="168" fontId="10" fillId="5" borderId="56" xfId="1" applyNumberFormat="1" applyFont="1" applyFill="1" applyBorder="1" applyAlignment="1">
      <alignment vertical="center"/>
    </xf>
    <xf numFmtId="165" fontId="10" fillId="5" borderId="56" xfId="1" applyNumberFormat="1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39" fontId="10" fillId="0" borderId="0" xfId="1" applyNumberFormat="1" applyFont="1" applyFill="1" applyBorder="1" applyAlignment="1">
      <alignment vertical="center"/>
    </xf>
    <xf numFmtId="39" fontId="17" fillId="0" borderId="0" xfId="1" applyNumberFormat="1" applyFont="1" applyFill="1" applyBorder="1" applyAlignment="1">
      <alignment vertical="center"/>
    </xf>
    <xf numFmtId="0" fontId="8" fillId="5" borderId="33" xfId="0" applyFont="1" applyFill="1" applyBorder="1" applyAlignment="1">
      <alignment vertical="center" wrapText="1"/>
    </xf>
    <xf numFmtId="39" fontId="10" fillId="4" borderId="7" xfId="1" applyNumberFormat="1" applyFont="1" applyFill="1" applyBorder="1" applyAlignment="1">
      <alignment vertical="center"/>
    </xf>
    <xf numFmtId="39" fontId="10" fillId="4" borderId="8" xfId="1" applyNumberFormat="1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39" fontId="18" fillId="0" borderId="0" xfId="1" applyNumberFormat="1" applyFont="1" applyFill="1" applyBorder="1" applyAlignment="1">
      <alignment vertical="center"/>
    </xf>
    <xf numFmtId="0" fontId="19" fillId="7" borderId="0" xfId="0" applyFont="1" applyFill="1" applyAlignment="1">
      <alignment vertical="center"/>
    </xf>
    <xf numFmtId="169" fontId="20" fillId="7" borderId="0" xfId="1" applyNumberFormat="1" applyFont="1" applyFill="1" applyBorder="1" applyAlignment="1" applyProtection="1">
      <alignment vertical="center"/>
    </xf>
    <xf numFmtId="0" fontId="20" fillId="7" borderId="0" xfId="0" applyFont="1" applyFill="1" applyAlignment="1">
      <alignment vertical="center"/>
    </xf>
    <xf numFmtId="0" fontId="0" fillId="8" borderId="0" xfId="0" applyFill="1"/>
    <xf numFmtId="0" fontId="21" fillId="0" borderId="0" xfId="0" applyFont="1"/>
    <xf numFmtId="169" fontId="0" fillId="0" borderId="0" xfId="1" applyNumberFormat="1" applyFont="1" applyFill="1" applyBorder="1" applyAlignment="1" applyProtection="1"/>
    <xf numFmtId="0" fontId="4" fillId="0" borderId="0" xfId="0" applyFont="1" applyAlignment="1">
      <alignment horizontal="center" wrapText="1"/>
    </xf>
    <xf numFmtId="0" fontId="21" fillId="0" borderId="0" xfId="2" applyNumberFormat="1" applyFont="1"/>
    <xf numFmtId="0" fontId="12" fillId="0" borderId="33" xfId="0" applyFont="1" applyBorder="1"/>
    <xf numFmtId="170" fontId="12" fillId="0" borderId="34" xfId="1" applyNumberFormat="1" applyFont="1" applyFill="1" applyBorder="1" applyAlignment="1" applyProtection="1"/>
    <xf numFmtId="170" fontId="12" fillId="0" borderId="35" xfId="1" applyNumberFormat="1" applyFont="1" applyFill="1" applyBorder="1" applyAlignment="1" applyProtection="1"/>
    <xf numFmtId="170" fontId="12" fillId="0" borderId="24" xfId="1" applyNumberFormat="1" applyFont="1" applyFill="1" applyBorder="1" applyAlignment="1" applyProtection="1"/>
    <xf numFmtId="0" fontId="22" fillId="0" borderId="23" xfId="0" applyFont="1" applyBorder="1"/>
    <xf numFmtId="169" fontId="22" fillId="0" borderId="47" xfId="1" applyNumberFormat="1" applyFont="1" applyFill="1" applyBorder="1" applyAlignment="1" applyProtection="1"/>
    <xf numFmtId="169" fontId="22" fillId="0" borderId="57" xfId="1" applyNumberFormat="1" applyFont="1" applyFill="1" applyBorder="1" applyAlignment="1" applyProtection="1"/>
    <xf numFmtId="165" fontId="9" fillId="0" borderId="26" xfId="1" applyNumberFormat="1" applyFont="1" applyBorder="1" applyAlignment="1">
      <alignment horizontal="right"/>
    </xf>
    <xf numFmtId="165" fontId="0" fillId="0" borderId="28" xfId="0" applyNumberFormat="1" applyBorder="1"/>
    <xf numFmtId="0" fontId="21" fillId="0" borderId="25" xfId="0" applyFont="1" applyBorder="1" applyAlignment="1">
      <alignment horizontal="left" wrapText="1"/>
    </xf>
    <xf numFmtId="165" fontId="21" fillId="0" borderId="26" xfId="1" applyNumberFormat="1" applyFont="1" applyBorder="1" applyAlignment="1">
      <alignment horizontal="right"/>
    </xf>
    <xf numFmtId="0" fontId="22" fillId="0" borderId="49" xfId="0" applyFont="1" applyBorder="1"/>
    <xf numFmtId="169" fontId="22" fillId="0" borderId="50" xfId="1" applyNumberFormat="1" applyFont="1" applyFill="1" applyBorder="1" applyAlignment="1" applyProtection="1"/>
    <xf numFmtId="169" fontId="22" fillId="0" borderId="58" xfId="1" applyNumberFormat="1" applyFont="1" applyFill="1" applyBorder="1" applyAlignment="1" applyProtection="1"/>
    <xf numFmtId="165" fontId="9" fillId="4" borderId="26" xfId="1" applyNumberFormat="1" applyFont="1" applyFill="1" applyBorder="1" applyAlignment="1">
      <alignment horizontal="right"/>
    </xf>
    <xf numFmtId="0" fontId="21" fillId="0" borderId="19" xfId="0" applyFont="1" applyBorder="1" applyAlignment="1">
      <alignment wrapText="1"/>
    </xf>
    <xf numFmtId="0" fontId="22" fillId="0" borderId="49" xfId="0" applyFont="1" applyBorder="1" applyAlignment="1">
      <alignment horizontal="left" wrapText="1"/>
    </xf>
    <xf numFmtId="0" fontId="21" fillId="0" borderId="29" xfId="0" applyFont="1" applyBorder="1" applyAlignment="1">
      <alignment wrapText="1"/>
    </xf>
    <xf numFmtId="165" fontId="8" fillId="4" borderId="26" xfId="1" applyNumberFormat="1" applyFont="1" applyFill="1" applyBorder="1" applyAlignment="1">
      <alignment horizontal="right"/>
    </xf>
    <xf numFmtId="0" fontId="22" fillId="0" borderId="49" xfId="0" applyFont="1" applyBorder="1" applyAlignment="1">
      <alignment wrapText="1"/>
    </xf>
    <xf numFmtId="165" fontId="9" fillId="0" borderId="26" xfId="1" applyNumberFormat="1" applyFont="1" applyFill="1" applyBorder="1" applyAlignment="1">
      <alignment horizontal="right"/>
    </xf>
    <xf numFmtId="165" fontId="22" fillId="0" borderId="59" xfId="1" applyNumberFormat="1" applyFont="1" applyFill="1" applyBorder="1" applyAlignment="1" applyProtection="1"/>
    <xf numFmtId="165" fontId="22" fillId="0" borderId="28" xfId="1" applyNumberFormat="1" applyFont="1" applyFill="1" applyBorder="1" applyAlignment="1" applyProtection="1"/>
    <xf numFmtId="165" fontId="22" fillId="0" borderId="51" xfId="1" applyNumberFormat="1" applyFont="1" applyFill="1" applyBorder="1" applyAlignment="1" applyProtection="1"/>
    <xf numFmtId="171" fontId="0" fillId="0" borderId="0" xfId="0" applyNumberFormat="1"/>
    <xf numFmtId="0" fontId="21" fillId="0" borderId="25" xfId="0" applyFont="1" applyBorder="1" applyAlignment="1">
      <alignment wrapText="1"/>
    </xf>
    <xf numFmtId="172" fontId="22" fillId="0" borderId="50" xfId="0" applyNumberFormat="1" applyFont="1" applyBorder="1"/>
    <xf numFmtId="172" fontId="22" fillId="0" borderId="58" xfId="0" applyNumberFormat="1" applyFont="1" applyBorder="1"/>
    <xf numFmtId="0" fontId="21" fillId="0" borderId="0" xfId="0" applyFont="1" applyAlignment="1">
      <alignment wrapText="1"/>
    </xf>
    <xf numFmtId="165" fontId="21" fillId="0" borderId="0" xfId="1" applyNumberFormat="1" applyFont="1" applyBorder="1" applyAlignment="1">
      <alignment horizontal="right"/>
    </xf>
    <xf numFmtId="165" fontId="22" fillId="0" borderId="51" xfId="0" applyNumberFormat="1" applyFont="1" applyBorder="1"/>
    <xf numFmtId="172" fontId="22" fillId="0" borderId="0" xfId="0" applyNumberFormat="1" applyFont="1"/>
    <xf numFmtId="167" fontId="22" fillId="0" borderId="28" xfId="0" applyNumberFormat="1" applyFont="1" applyBorder="1"/>
    <xf numFmtId="165" fontId="22" fillId="0" borderId="28" xfId="0" applyNumberFormat="1" applyFont="1" applyBorder="1"/>
    <xf numFmtId="167" fontId="22" fillId="0" borderId="0" xfId="0" applyNumberFormat="1" applyFont="1"/>
    <xf numFmtId="0" fontId="12" fillId="0" borderId="62" xfId="0" applyFont="1" applyBorder="1"/>
    <xf numFmtId="169" fontId="12" fillId="0" borderId="63" xfId="1" applyNumberFormat="1" applyFont="1" applyFill="1" applyBorder="1" applyAlignment="1" applyProtection="1"/>
    <xf numFmtId="169" fontId="12" fillId="0" borderId="64" xfId="1" applyNumberFormat="1" applyFont="1" applyFill="1" applyBorder="1" applyAlignment="1" applyProtection="1"/>
    <xf numFmtId="169" fontId="23" fillId="0" borderId="65" xfId="0" applyNumberFormat="1" applyFont="1" applyBorder="1"/>
    <xf numFmtId="173" fontId="0" fillId="0" borderId="0" xfId="0" applyNumberFormat="1"/>
    <xf numFmtId="0" fontId="0" fillId="0" borderId="66" xfId="0" applyBorder="1"/>
    <xf numFmtId="169" fontId="0" fillId="0" borderId="67" xfId="1" applyNumberFormat="1" applyFont="1" applyFill="1" applyBorder="1" applyAlignment="1" applyProtection="1"/>
    <xf numFmtId="169" fontId="0" fillId="0" borderId="68" xfId="1" applyNumberFormat="1" applyFont="1" applyFill="1" applyBorder="1" applyAlignment="1" applyProtection="1"/>
    <xf numFmtId="0" fontId="0" fillId="0" borderId="69" xfId="0" applyBorder="1"/>
    <xf numFmtId="0" fontId="0" fillId="0" borderId="70" xfId="0" applyBorder="1"/>
    <xf numFmtId="169" fontId="4" fillId="0" borderId="0" xfId="1" applyNumberFormat="1" applyFont="1" applyFill="1" applyBorder="1" applyAlignment="1" applyProtection="1"/>
    <xf numFmtId="0" fontId="28" fillId="0" borderId="0" xfId="0" applyFont="1"/>
    <xf numFmtId="0" fontId="28" fillId="0" borderId="4" xfId="0" applyFont="1" applyBorder="1" applyAlignment="1">
      <alignment wrapText="1"/>
    </xf>
    <xf numFmtId="0" fontId="28" fillId="0" borderId="5" xfId="0" applyFont="1" applyBorder="1"/>
    <xf numFmtId="0" fontId="27" fillId="0" borderId="6" xfId="0" applyFont="1" applyBorder="1" applyAlignment="1">
      <alignment wrapText="1"/>
    </xf>
    <xf numFmtId="0" fontId="29" fillId="0" borderId="7" xfId="0" applyFont="1" applyBorder="1"/>
    <xf numFmtId="0" fontId="29" fillId="0" borderId="8" xfId="0" applyFont="1" applyBorder="1"/>
    <xf numFmtId="0" fontId="27" fillId="0" borderId="9" xfId="0" applyFont="1" applyBorder="1" applyAlignment="1">
      <alignment wrapText="1"/>
    </xf>
    <xf numFmtId="0" fontId="27" fillId="0" borderId="10" xfId="0" applyFont="1" applyBorder="1" applyAlignment="1">
      <alignment wrapText="1"/>
    </xf>
    <xf numFmtId="166" fontId="30" fillId="4" borderId="8" xfId="1" applyNumberFormat="1" applyFont="1" applyFill="1" applyBorder="1" applyAlignment="1">
      <alignment vertical="center"/>
    </xf>
    <xf numFmtId="0" fontId="27" fillId="0" borderId="11" xfId="0" applyFont="1" applyBorder="1" applyAlignment="1">
      <alignment wrapText="1"/>
    </xf>
    <xf numFmtId="0" fontId="29" fillId="0" borderId="12" xfId="0" applyFont="1" applyBorder="1"/>
    <xf numFmtId="0" fontId="29" fillId="0" borderId="11" xfId="0" applyFont="1" applyBorder="1" applyAlignment="1">
      <alignment horizontal="right" wrapText="1"/>
    </xf>
    <xf numFmtId="0" fontId="27" fillId="0" borderId="12" xfId="0" applyFont="1" applyBorder="1" applyAlignment="1">
      <alignment horizontal="right"/>
    </xf>
    <xf numFmtId="0" fontId="28" fillId="0" borderId="5" xfId="0" applyFont="1" applyBorder="1" applyAlignment="1">
      <alignment horizontal="right"/>
    </xf>
    <xf numFmtId="0" fontId="29" fillId="0" borderId="13" xfId="0" applyFont="1" applyBorder="1" applyAlignment="1">
      <alignment horizontal="right" wrapText="1"/>
    </xf>
    <xf numFmtId="0" fontId="27" fillId="0" borderId="14" xfId="0" applyFont="1" applyBorder="1" applyAlignment="1">
      <alignment horizontal="right"/>
    </xf>
    <xf numFmtId="0" fontId="29" fillId="0" borderId="15" xfId="0" applyFont="1" applyBorder="1" applyAlignment="1">
      <alignment wrapText="1"/>
    </xf>
    <xf numFmtId="165" fontId="27" fillId="0" borderId="16" xfId="0" applyNumberFormat="1" applyFont="1" applyBorder="1"/>
    <xf numFmtId="0" fontId="29" fillId="0" borderId="17" xfId="0" applyFont="1" applyBorder="1" applyAlignment="1">
      <alignment wrapText="1"/>
    </xf>
    <xf numFmtId="166" fontId="27" fillId="0" borderId="18" xfId="0" applyNumberFormat="1" applyFont="1" applyBorder="1"/>
    <xf numFmtId="0" fontId="29" fillId="0" borderId="19" xfId="0" applyFont="1" applyBorder="1" applyAlignment="1">
      <alignment wrapText="1"/>
    </xf>
    <xf numFmtId="165" fontId="27" fillId="0" borderId="20" xfId="0" applyNumberFormat="1" applyFont="1" applyBorder="1"/>
    <xf numFmtId="166" fontId="27" fillId="0" borderId="20" xfId="0" applyNumberFormat="1" applyFont="1" applyBorder="1"/>
    <xf numFmtId="0" fontId="29" fillId="0" borderId="0" xfId="0" applyFont="1"/>
    <xf numFmtId="0" fontId="27" fillId="0" borderId="19" xfId="0" applyFont="1" applyBorder="1" applyAlignment="1">
      <alignment wrapText="1"/>
    </xf>
    <xf numFmtId="0" fontId="27" fillId="0" borderId="21" xfId="0" applyFont="1" applyBorder="1" applyAlignment="1">
      <alignment wrapText="1"/>
    </xf>
    <xf numFmtId="0" fontId="27" fillId="0" borderId="22" xfId="0" applyFont="1" applyBorder="1"/>
    <xf numFmtId="0" fontId="27" fillId="5" borderId="7" xfId="0" applyFont="1" applyFill="1" applyBorder="1" applyAlignment="1">
      <alignment horizontal="center"/>
    </xf>
    <xf numFmtId="0" fontId="27" fillId="5" borderId="8" xfId="0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0" fontId="27" fillId="0" borderId="23" xfId="0" applyFont="1" applyBorder="1" applyAlignment="1">
      <alignment horizontal="center" wrapText="1"/>
    </xf>
    <xf numFmtId="0" fontId="27" fillId="0" borderId="24" xfId="0" applyFont="1" applyBorder="1"/>
    <xf numFmtId="0" fontId="29" fillId="0" borderId="25" xfId="0" applyFont="1" applyBorder="1" applyAlignment="1">
      <alignment horizontal="left" wrapText="1"/>
    </xf>
    <xf numFmtId="168" fontId="29" fillId="0" borderId="26" xfId="1" applyNumberFormat="1" applyFont="1" applyBorder="1" applyAlignment="1">
      <alignment horizontal="right"/>
    </xf>
    <xf numFmtId="165" fontId="29" fillId="0" borderId="27" xfId="1" applyNumberFormat="1" applyFont="1" applyBorder="1" applyAlignment="1">
      <alignment horizontal="right"/>
    </xf>
    <xf numFmtId="0" fontId="29" fillId="0" borderId="0" xfId="1" applyNumberFormat="1" applyFont="1" applyBorder="1" applyAlignment="1">
      <alignment horizontal="right"/>
    </xf>
    <xf numFmtId="165" fontId="29" fillId="0" borderId="28" xfId="1" applyNumberFormat="1" applyFont="1" applyBorder="1" applyAlignment="1">
      <alignment horizontal="right"/>
    </xf>
    <xf numFmtId="164" fontId="29" fillId="0" borderId="0" xfId="3" applyFont="1" applyBorder="1" applyAlignment="1">
      <alignment horizontal="left"/>
    </xf>
    <xf numFmtId="168" fontId="29" fillId="0" borderId="0" xfId="1" applyNumberFormat="1" applyFont="1" applyBorder="1" applyProtection="1">
      <protection locked="0"/>
    </xf>
    <xf numFmtId="168" fontId="29" fillId="0" borderId="0" xfId="1" applyNumberFormat="1" applyFont="1" applyBorder="1"/>
    <xf numFmtId="0" fontId="29" fillId="0" borderId="29" xfId="0" applyFont="1" applyBorder="1" applyAlignment="1">
      <alignment wrapText="1"/>
    </xf>
    <xf numFmtId="165" fontId="29" fillId="4" borderId="28" xfId="1" applyNumberFormat="1" applyFont="1" applyFill="1" applyBorder="1" applyAlignment="1">
      <alignment horizontal="right"/>
    </xf>
    <xf numFmtId="165" fontId="29" fillId="0" borderId="28" xfId="1" applyNumberFormat="1" applyFont="1" applyFill="1" applyBorder="1" applyAlignment="1">
      <alignment horizontal="right"/>
    </xf>
    <xf numFmtId="0" fontId="27" fillId="0" borderId="4" xfId="0" applyFont="1" applyBorder="1" applyAlignment="1">
      <alignment wrapText="1"/>
    </xf>
    <xf numFmtId="168" fontId="27" fillId="0" borderId="26" xfId="1" applyNumberFormat="1" applyFont="1" applyBorder="1" applyAlignment="1">
      <alignment horizontal="right"/>
    </xf>
    <xf numFmtId="165" fontId="27" fillId="0" borderId="28" xfId="1" applyNumberFormat="1" applyFont="1" applyFill="1" applyBorder="1" applyAlignment="1">
      <alignment horizontal="right"/>
    </xf>
    <xf numFmtId="0" fontId="29" fillId="0" borderId="4" xfId="0" applyFont="1" applyBorder="1" applyAlignment="1">
      <alignment wrapText="1"/>
    </xf>
    <xf numFmtId="0" fontId="29" fillId="0" borderId="25" xfId="0" applyFont="1" applyBorder="1" applyAlignment="1">
      <alignment wrapText="1"/>
    </xf>
    <xf numFmtId="0" fontId="29" fillId="0" borderId="30" xfId="0" applyFont="1" applyBorder="1" applyAlignment="1">
      <alignment wrapText="1"/>
    </xf>
    <xf numFmtId="167" fontId="28" fillId="0" borderId="31" xfId="0" applyNumberFormat="1" applyFont="1" applyBorder="1"/>
    <xf numFmtId="165" fontId="28" fillId="0" borderId="32" xfId="0" applyNumberFormat="1" applyFont="1" applyBorder="1"/>
    <xf numFmtId="0" fontId="27" fillId="5" borderId="33" xfId="0" applyFont="1" applyFill="1" applyBorder="1" applyAlignment="1">
      <alignment wrapText="1"/>
    </xf>
    <xf numFmtId="168" fontId="31" fillId="5" borderId="34" xfId="1" applyNumberFormat="1" applyFont="1" applyFill="1" applyBorder="1" applyAlignment="1">
      <alignment horizontal="center" vertical="center"/>
    </xf>
    <xf numFmtId="165" fontId="31" fillId="5" borderId="35" xfId="1" applyNumberFormat="1" applyFont="1" applyFill="1" applyBorder="1" applyAlignment="1">
      <alignment horizontal="center" vertical="center"/>
    </xf>
    <xf numFmtId="168" fontId="28" fillId="0" borderId="0" xfId="0" applyNumberFormat="1" applyFont="1"/>
    <xf numFmtId="0" fontId="27" fillId="0" borderId="0" xfId="0" applyFont="1" applyAlignment="1">
      <alignment wrapText="1"/>
    </xf>
    <xf numFmtId="168" fontId="31" fillId="0" borderId="0" xfId="1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left"/>
    </xf>
    <xf numFmtId="0" fontId="27" fillId="2" borderId="0" xfId="0" applyFont="1" applyFill="1"/>
    <xf numFmtId="44" fontId="31" fillId="0" borderId="0" xfId="1" applyFont="1" applyFill="1" applyBorder="1" applyAlignment="1">
      <alignment horizontal="center" vertical="center"/>
    </xf>
    <xf numFmtId="0" fontId="27" fillId="0" borderId="33" xfId="0" applyFont="1" applyBorder="1" applyAlignment="1">
      <alignment vertical="center" wrapText="1"/>
    </xf>
    <xf numFmtId="0" fontId="27" fillId="0" borderId="34" xfId="0" applyFont="1" applyBorder="1"/>
    <xf numFmtId="0" fontId="27" fillId="0" borderId="36" xfId="0" applyFont="1" applyBorder="1"/>
    <xf numFmtId="0" fontId="30" fillId="0" borderId="37" xfId="0" applyFont="1" applyBorder="1" applyAlignment="1">
      <alignment wrapText="1"/>
    </xf>
    <xf numFmtId="0" fontId="27" fillId="0" borderId="38" xfId="0" applyFont="1" applyBorder="1"/>
    <xf numFmtId="165" fontId="27" fillId="0" borderId="38" xfId="0" applyNumberFormat="1" applyFont="1" applyBorder="1"/>
    <xf numFmtId="165" fontId="27" fillId="0" borderId="18" xfId="0" applyNumberFormat="1" applyFont="1" applyBorder="1"/>
    <xf numFmtId="0" fontId="30" fillId="0" borderId="19" xfId="0" applyFont="1" applyBorder="1" applyAlignment="1">
      <alignment wrapText="1"/>
    </xf>
    <xf numFmtId="0" fontId="27" fillId="0" borderId="20" xfId="0" applyFont="1" applyBorder="1"/>
    <xf numFmtId="165" fontId="30" fillId="0" borderId="20" xfId="0" applyNumberFormat="1" applyFont="1" applyBorder="1"/>
    <xf numFmtId="0" fontId="28" fillId="0" borderId="20" xfId="0" applyFont="1" applyBorder="1"/>
    <xf numFmtId="167" fontId="32" fillId="0" borderId="20" xfId="0" applyNumberFormat="1" applyFont="1" applyBorder="1"/>
    <xf numFmtId="167" fontId="27" fillId="0" borderId="20" xfId="0" applyNumberFormat="1" applyFont="1" applyBorder="1"/>
    <xf numFmtId="0" fontId="27" fillId="0" borderId="41" xfId="0" applyFont="1" applyBorder="1" applyAlignment="1">
      <alignment wrapText="1"/>
    </xf>
    <xf numFmtId="0" fontId="27" fillId="0" borderId="42" xfId="0" applyFont="1" applyBorder="1"/>
    <xf numFmtId="0" fontId="28" fillId="0" borderId="42" xfId="0" applyFont="1" applyBorder="1"/>
    <xf numFmtId="0" fontId="27" fillId="0" borderId="14" xfId="0" applyFont="1" applyBorder="1" applyAlignment="1">
      <alignment wrapText="1"/>
    </xf>
    <xf numFmtId="0" fontId="27" fillId="0" borderId="14" xfId="0" applyFont="1" applyBorder="1"/>
    <xf numFmtId="0" fontId="28" fillId="0" borderId="14" xfId="0" applyFont="1" applyBorder="1"/>
    <xf numFmtId="0" fontId="27" fillId="0" borderId="0" xfId="0" applyFont="1"/>
    <xf numFmtId="165" fontId="22" fillId="0" borderId="60" xfId="0" applyNumberFormat="1" applyFont="1" applyBorder="1" applyAlignment="1">
      <alignment horizontal="center" vertical="center" wrapText="1"/>
    </xf>
    <xf numFmtId="165" fontId="22" fillId="0" borderId="26" xfId="0" applyNumberFormat="1" applyFont="1" applyBorder="1" applyAlignment="1">
      <alignment horizontal="center" vertical="center" wrapText="1"/>
    </xf>
    <xf numFmtId="165" fontId="22" fillId="0" borderId="61" xfId="0" applyNumberFormat="1" applyFont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5" xfId="0" applyFont="1" applyFill="1" applyBorder="1" applyAlignment="1">
      <alignment horizontal="center"/>
    </xf>
    <xf numFmtId="0" fontId="27" fillId="5" borderId="6" xfId="0" applyFont="1" applyFill="1" applyBorder="1" applyAlignment="1">
      <alignment horizontal="center"/>
    </xf>
    <xf numFmtId="0" fontId="27" fillId="5" borderId="7" xfId="0" applyFont="1" applyFill="1" applyBorder="1" applyAlignment="1">
      <alignment horizontal="center"/>
    </xf>
    <xf numFmtId="0" fontId="27" fillId="5" borderId="8" xfId="0" applyFont="1" applyFill="1" applyBorder="1" applyAlignment="1">
      <alignment horizontal="center"/>
    </xf>
    <xf numFmtId="165" fontId="27" fillId="6" borderId="39" xfId="0" applyNumberFormat="1" applyFont="1" applyFill="1" applyBorder="1"/>
    <xf numFmtId="165" fontId="27" fillId="6" borderId="40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</cellXfs>
  <cellStyles count="4">
    <cellStyle name="Euro" xfId="3" xr:uid="{EAD716F8-7336-4843-A47A-8D78AC0B9B35}"/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ncic-my.sharepoint.com/personal/judith_joseph_vinci-construction_com/Documents/Bureau/Bilan1_EEB_2023.xlsx" TargetMode="External"/><Relationship Id="rId1" Type="http://schemas.openxmlformats.org/officeDocument/2006/relationships/externalLinkPath" Target="Bureau/Bilan1_EEB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LAN FONCTIONNEL"/>
      <sheetName val="BILAN DES TRAVAUX"/>
      <sheetName val="RESULTAT"/>
      <sheetName val="BUDGET PREVISIONNEL 2023"/>
      <sheetName val="TRAVAUX MACOURIA 2019"/>
    </sheetNames>
    <sheetDataSet>
      <sheetData sheetId="0">
        <row r="63">
          <cell r="C63"/>
        </row>
      </sheetData>
      <sheetData sheetId="1"/>
      <sheetData sheetId="2">
        <row r="14">
          <cell r="C14">
            <v>27265.769999999993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FEB6-662D-4820-A4EF-781F18C9B78B}">
  <dimension ref="A1:U362"/>
  <sheetViews>
    <sheetView tabSelected="1" topLeftCell="A37" zoomScale="70" zoomScaleNormal="70" workbookViewId="0">
      <selection activeCell="G49" sqref="G49"/>
    </sheetView>
  </sheetViews>
  <sheetFormatPr baseColWidth="10" defaultRowHeight="14.5" x14ac:dyDescent="0.35"/>
  <cols>
    <col min="1" max="1" width="48.90625" customWidth="1"/>
    <col min="2" max="2" width="26.08984375" customWidth="1"/>
    <col min="3" max="3" width="28.453125" customWidth="1"/>
    <col min="4" max="4" width="21.90625" bestFit="1" customWidth="1"/>
    <col min="5" max="5" width="17.90625" customWidth="1"/>
    <col min="6" max="6" width="27.36328125" customWidth="1"/>
    <col min="7" max="7" width="25.36328125" customWidth="1"/>
    <col min="8" max="8" width="21" customWidth="1"/>
    <col min="9" max="9" width="23" customWidth="1"/>
    <col min="10" max="10" width="21" customWidth="1"/>
    <col min="11" max="11" width="15.54296875" customWidth="1"/>
    <col min="12" max="12" width="14" customWidth="1"/>
    <col min="13" max="13" width="20.08984375" customWidth="1"/>
    <col min="14" max="14" width="20" customWidth="1"/>
    <col min="15" max="15" width="29.90625" customWidth="1"/>
    <col min="16" max="16" width="21.36328125" customWidth="1"/>
    <col min="17" max="17" width="15.90625" customWidth="1"/>
    <col min="18" max="18" width="12.90625" customWidth="1"/>
    <col min="19" max="19" width="15.08984375" customWidth="1"/>
    <col min="20" max="20" width="8.90625" customWidth="1"/>
    <col min="21" max="21" width="12.36328125" customWidth="1"/>
  </cols>
  <sheetData>
    <row r="1" spans="1:16" ht="15.5" x14ac:dyDescent="0.35">
      <c r="A1" s="1" t="s">
        <v>0</v>
      </c>
      <c r="B1" s="2"/>
      <c r="C1" s="2"/>
    </row>
    <row r="2" spans="1:16" ht="15.5" x14ac:dyDescent="0.35">
      <c r="A2" s="2" t="s">
        <v>1</v>
      </c>
      <c r="B2" s="2"/>
      <c r="C2" s="2"/>
      <c r="F2" s="3" t="s">
        <v>2</v>
      </c>
    </row>
    <row r="3" spans="1:16" ht="15.5" x14ac:dyDescent="0.35">
      <c r="A3" s="4"/>
      <c r="B3" s="4"/>
      <c r="I3" t="s">
        <v>3</v>
      </c>
      <c r="J3" t="s">
        <v>4</v>
      </c>
      <c r="N3" t="s">
        <v>3</v>
      </c>
      <c r="O3" t="s">
        <v>4</v>
      </c>
    </row>
    <row r="4" spans="1:16" ht="15" customHeight="1" thickBot="1" x14ac:dyDescent="0.4">
      <c r="A4" s="5"/>
      <c r="E4" t="s">
        <v>4</v>
      </c>
      <c r="F4" t="s">
        <v>3</v>
      </c>
      <c r="H4" s="3" t="s">
        <v>5</v>
      </c>
      <c r="I4">
        <v>914.22</v>
      </c>
      <c r="J4">
        <v>70</v>
      </c>
      <c r="K4" t="s">
        <v>77</v>
      </c>
      <c r="M4" s="3" t="s">
        <v>6</v>
      </c>
      <c r="N4" s="3">
        <v>460.98</v>
      </c>
      <c r="O4" s="3">
        <v>440</v>
      </c>
      <c r="P4" s="3"/>
    </row>
    <row r="5" spans="1:16" ht="13.5" customHeight="1" x14ac:dyDescent="0.35">
      <c r="A5" s="6"/>
      <c r="B5" s="7"/>
      <c r="C5" s="8"/>
      <c r="D5">
        <v>0</v>
      </c>
      <c r="I5">
        <v>441.3</v>
      </c>
      <c r="J5">
        <v>790</v>
      </c>
      <c r="N5">
        <v>319.89999999999998</v>
      </c>
      <c r="O5">
        <v>632</v>
      </c>
    </row>
    <row r="6" spans="1:16" ht="30.75" customHeight="1" x14ac:dyDescent="0.55000000000000004">
      <c r="A6" s="195" t="s">
        <v>76</v>
      </c>
      <c r="B6" s="196"/>
      <c r="C6" s="197"/>
      <c r="D6" s="112"/>
      <c r="E6" s="9">
        <f>J9+J17+J25+J33+J40+J55+O55+O41+O33+O24+O17+O9</f>
        <v>23569</v>
      </c>
      <c r="F6" s="9">
        <f>I9+I17+I25+I33+I40+I55+N55+N41+N33+N24+N17+N9</f>
        <v>25397.14</v>
      </c>
      <c r="G6" s="10">
        <f>K9+K17+K25+K33+K40+K55+P55+P41+P33+P24+P17+P9</f>
        <v>0</v>
      </c>
      <c r="I6">
        <v>355.08</v>
      </c>
      <c r="J6">
        <v>190</v>
      </c>
      <c r="N6" s="3">
        <v>381.6</v>
      </c>
      <c r="O6">
        <v>101</v>
      </c>
    </row>
    <row r="7" spans="1:16" ht="23.5" x14ac:dyDescent="0.55000000000000004">
      <c r="A7" s="113"/>
      <c r="B7" s="112"/>
      <c r="C7" s="114"/>
      <c r="D7" s="112"/>
      <c r="I7">
        <v>370.2</v>
      </c>
      <c r="J7">
        <v>150</v>
      </c>
      <c r="N7">
        <v>258.2</v>
      </c>
      <c r="O7">
        <v>100</v>
      </c>
    </row>
    <row r="8" spans="1:16" ht="24" thickBot="1" x14ac:dyDescent="0.6">
      <c r="A8" s="113"/>
      <c r="B8" s="112"/>
      <c r="C8" s="114"/>
      <c r="D8" s="112"/>
      <c r="N8" s="3">
        <f>200+600+200+730</f>
        <v>1730</v>
      </c>
      <c r="O8">
        <v>850</v>
      </c>
    </row>
    <row r="9" spans="1:16" ht="24" thickBot="1" x14ac:dyDescent="0.6">
      <c r="A9" s="115" t="s">
        <v>79</v>
      </c>
      <c r="B9" s="116"/>
      <c r="C9" s="117"/>
      <c r="D9" s="112"/>
      <c r="I9" s="11">
        <f>SUM(I4:I8)</f>
        <v>2080.7999999999997</v>
      </c>
      <c r="J9" s="11">
        <f>SUM(J4:J8)</f>
        <v>1200</v>
      </c>
      <c r="K9" s="11">
        <f>SUM(K4:K7)</f>
        <v>0</v>
      </c>
      <c r="N9" s="11">
        <f>SUM(N4:N8)</f>
        <v>3150.6800000000003</v>
      </c>
      <c r="O9" s="11">
        <f>SUM(O4:O8)</f>
        <v>2123</v>
      </c>
      <c r="P9" s="11">
        <f>SUM(P4:P7)</f>
        <v>0</v>
      </c>
    </row>
    <row r="10" spans="1:16" ht="47" thickBot="1" x14ac:dyDescent="0.6">
      <c r="A10" s="118"/>
      <c r="B10" s="119" t="s">
        <v>75</v>
      </c>
      <c r="C10" s="120">
        <v>14306.9</v>
      </c>
      <c r="D10" s="112"/>
      <c r="E10" s="12"/>
      <c r="F10" s="12"/>
    </row>
    <row r="11" spans="1:16" ht="23.5" x14ac:dyDescent="0.55000000000000004">
      <c r="A11" s="121"/>
      <c r="B11" s="122"/>
      <c r="C11" s="114"/>
      <c r="D11" s="112"/>
      <c r="H11" s="3" t="s">
        <v>7</v>
      </c>
      <c r="I11">
        <v>334.28</v>
      </c>
      <c r="J11">
        <v>1000</v>
      </c>
      <c r="M11" s="3" t="s">
        <v>8</v>
      </c>
      <c r="N11" s="3">
        <v>239.8</v>
      </c>
      <c r="O11" s="3">
        <v>260</v>
      </c>
      <c r="P11" s="3"/>
    </row>
    <row r="12" spans="1:16" ht="23.5" x14ac:dyDescent="0.55000000000000004">
      <c r="A12" s="121"/>
      <c r="B12" s="122"/>
      <c r="C12" s="114"/>
      <c r="D12" s="112"/>
      <c r="I12">
        <v>384.5</v>
      </c>
      <c r="J12">
        <v>330</v>
      </c>
      <c r="N12" s="3">
        <v>198.3</v>
      </c>
      <c r="O12" s="3">
        <v>120</v>
      </c>
      <c r="P12" s="3"/>
    </row>
    <row r="13" spans="1:16" ht="23.5" x14ac:dyDescent="0.55000000000000004">
      <c r="A13" s="123"/>
      <c r="B13" s="124" t="s">
        <v>104</v>
      </c>
      <c r="C13" s="125"/>
      <c r="D13" s="112"/>
      <c r="I13">
        <v>352</v>
      </c>
      <c r="J13">
        <v>370</v>
      </c>
      <c r="N13" s="3">
        <v>247.49</v>
      </c>
      <c r="O13" s="3">
        <v>50</v>
      </c>
      <c r="P13" s="3"/>
    </row>
    <row r="14" spans="1:16" ht="23.5" x14ac:dyDescent="0.55000000000000004">
      <c r="A14" s="126"/>
      <c r="B14" s="127"/>
      <c r="C14" s="125"/>
      <c r="D14" s="112"/>
      <c r="I14">
        <v>397.25</v>
      </c>
      <c r="J14">
        <v>100</v>
      </c>
      <c r="K14" s="13"/>
      <c r="N14" s="3">
        <v>216.75</v>
      </c>
      <c r="O14" s="3">
        <v>330</v>
      </c>
      <c r="P14" s="3"/>
    </row>
    <row r="15" spans="1:16" ht="23.5" x14ac:dyDescent="0.55000000000000004">
      <c r="A15" s="126"/>
      <c r="B15" s="127"/>
      <c r="C15" s="125"/>
      <c r="D15" s="112"/>
      <c r="K15" s="13"/>
      <c r="N15" s="3">
        <v>200</v>
      </c>
      <c r="O15" s="3"/>
      <c r="P15" s="3"/>
    </row>
    <row r="16" spans="1:16" ht="23.5" x14ac:dyDescent="0.55000000000000004">
      <c r="A16" s="128" t="s">
        <v>9</v>
      </c>
      <c r="B16" s="129">
        <f>F6</f>
        <v>25397.14</v>
      </c>
      <c r="C16" s="114"/>
      <c r="D16" s="112"/>
      <c r="G16" s="14"/>
      <c r="J16">
        <v>1000</v>
      </c>
      <c r="N16" s="3">
        <v>313.10000000000002</v>
      </c>
      <c r="O16" s="3">
        <v>500</v>
      </c>
      <c r="P16" s="3"/>
    </row>
    <row r="17" spans="1:21" ht="23.5" x14ac:dyDescent="0.55000000000000004">
      <c r="A17" s="130" t="s">
        <v>63</v>
      </c>
      <c r="B17" s="131">
        <f>E6</f>
        <v>23569</v>
      </c>
      <c r="C17" s="114"/>
      <c r="D17" s="112"/>
      <c r="I17" s="11">
        <f>SUM(I11:I16)</f>
        <v>1468.03</v>
      </c>
      <c r="J17" s="11">
        <f>SUM(J11:J16)</f>
        <v>2800</v>
      </c>
      <c r="K17" s="11">
        <f>SUM(K11:K16)</f>
        <v>0</v>
      </c>
      <c r="N17" s="11">
        <f>SUM(N11:N16)</f>
        <v>1415.44</v>
      </c>
      <c r="O17" s="11">
        <f>SUM(O11:O16)</f>
        <v>1260</v>
      </c>
      <c r="P17" s="11">
        <f>SUM(P11:P16)</f>
        <v>0</v>
      </c>
      <c r="U17">
        <v>403</v>
      </c>
    </row>
    <row r="18" spans="1:21" ht="23.5" x14ac:dyDescent="0.55000000000000004">
      <c r="A18" s="132" t="s">
        <v>99</v>
      </c>
      <c r="B18" s="133">
        <v>1008</v>
      </c>
      <c r="C18" s="114"/>
      <c r="D18" s="112"/>
    </row>
    <row r="19" spans="1:21" ht="23.5" x14ac:dyDescent="0.55000000000000004">
      <c r="A19" s="132" t="s">
        <v>78</v>
      </c>
      <c r="B19" s="134">
        <v>826</v>
      </c>
      <c r="C19" s="114"/>
      <c r="D19" s="135"/>
      <c r="H19" s="3" t="s">
        <v>10</v>
      </c>
      <c r="I19">
        <v>487.26</v>
      </c>
      <c r="J19">
        <v>200</v>
      </c>
      <c r="M19" s="3" t="s">
        <v>11</v>
      </c>
      <c r="N19" s="3">
        <v>425.55</v>
      </c>
      <c r="O19" s="3">
        <v>40</v>
      </c>
      <c r="P19" s="3"/>
      <c r="S19">
        <v>3119</v>
      </c>
      <c r="U19">
        <v>403</v>
      </c>
    </row>
    <row r="20" spans="1:21" ht="46.5" x14ac:dyDescent="0.55000000000000004">
      <c r="A20" s="136" t="s">
        <v>12</v>
      </c>
      <c r="B20" s="133">
        <f>SUM(B16:B19)</f>
        <v>50800.14</v>
      </c>
      <c r="C20" s="114"/>
      <c r="D20" s="135"/>
      <c r="G20" s="14"/>
      <c r="I20">
        <v>441.71</v>
      </c>
      <c r="J20">
        <v>1160</v>
      </c>
      <c r="N20" s="3">
        <v>408.12</v>
      </c>
      <c r="O20" s="3">
        <v>480</v>
      </c>
      <c r="P20" s="3"/>
      <c r="S20">
        <v>3119</v>
      </c>
      <c r="U20">
        <v>403</v>
      </c>
    </row>
    <row r="21" spans="1:21" ht="24" thickBot="1" x14ac:dyDescent="0.6">
      <c r="A21" s="137"/>
      <c r="B21" s="138"/>
      <c r="C21" s="114"/>
      <c r="D21" s="135"/>
      <c r="E21" s="14"/>
      <c r="I21">
        <v>335.6</v>
      </c>
      <c r="J21">
        <v>255</v>
      </c>
      <c r="N21" s="3">
        <v>269.97000000000003</v>
      </c>
      <c r="O21" s="3">
        <v>370</v>
      </c>
      <c r="P21" s="3"/>
      <c r="S21">
        <v>1119</v>
      </c>
      <c r="U21">
        <v>403</v>
      </c>
    </row>
    <row r="22" spans="1:21" ht="23.5" thickBot="1" x14ac:dyDescent="0.55000000000000004">
      <c r="A22" s="198" t="s">
        <v>68</v>
      </c>
      <c r="B22" s="199"/>
      <c r="C22" s="200"/>
      <c r="D22" s="135"/>
      <c r="I22">
        <v>343.49</v>
      </c>
      <c r="J22">
        <v>150</v>
      </c>
      <c r="N22" s="3">
        <v>356.45</v>
      </c>
      <c r="O22" s="3">
        <v>1000</v>
      </c>
      <c r="P22" s="3"/>
      <c r="S22">
        <v>3319</v>
      </c>
      <c r="U22">
        <v>403</v>
      </c>
    </row>
    <row r="23" spans="1:21" ht="23.5" thickBot="1" x14ac:dyDescent="0.55000000000000004">
      <c r="A23" s="141"/>
      <c r="B23" s="139"/>
      <c r="C23" s="140"/>
      <c r="D23" s="135"/>
      <c r="I23">
        <v>394.82</v>
      </c>
      <c r="N23" s="3">
        <v>200</v>
      </c>
      <c r="O23" s="3">
        <v>1500</v>
      </c>
      <c r="P23" s="3"/>
      <c r="S23">
        <v>1559.5</v>
      </c>
      <c r="U23">
        <v>403</v>
      </c>
    </row>
    <row r="24" spans="1:21" ht="23.5" thickBot="1" x14ac:dyDescent="0.55000000000000004">
      <c r="A24" s="142" t="s">
        <v>13</v>
      </c>
      <c r="B24" s="143"/>
      <c r="C24" s="143"/>
      <c r="D24" s="135"/>
      <c r="N24" s="11">
        <f>SUM(N19:N23)</f>
        <v>1660.0900000000001</v>
      </c>
      <c r="O24" s="11">
        <f>SUM(O19:O23)</f>
        <v>3390</v>
      </c>
      <c r="P24" s="11">
        <f>SUM(P19:P22)</f>
        <v>0</v>
      </c>
      <c r="S24">
        <v>1559.5</v>
      </c>
      <c r="U24">
        <v>403</v>
      </c>
    </row>
    <row r="25" spans="1:21" ht="22.5" x14ac:dyDescent="0.45">
      <c r="A25" s="144" t="s">
        <v>69</v>
      </c>
      <c r="B25" s="145"/>
      <c r="C25" s="146">
        <v>380</v>
      </c>
      <c r="D25" s="147"/>
      <c r="E25" s="17"/>
      <c r="F25" s="18"/>
      <c r="I25" s="11">
        <f>SUM(I19:I24)</f>
        <v>2002.88</v>
      </c>
      <c r="J25" s="11">
        <f>SUM(J19:J24)</f>
        <v>1765</v>
      </c>
      <c r="K25" s="11">
        <f>SUM(K19:K24)</f>
        <v>0</v>
      </c>
      <c r="S25">
        <v>3119</v>
      </c>
      <c r="U25">
        <v>403</v>
      </c>
    </row>
    <row r="26" spans="1:21" ht="22.5" x14ac:dyDescent="0.45">
      <c r="A26" s="132" t="s">
        <v>14</v>
      </c>
      <c r="B26" s="145"/>
      <c r="C26" s="148">
        <f>303.09+109.07+201.59+156.92+289.98</f>
        <v>1060.6500000000001</v>
      </c>
      <c r="D26" s="149"/>
      <c r="E26" s="17"/>
      <c r="F26" s="18"/>
      <c r="S26">
        <f>SUM(S18:S25)</f>
        <v>16914</v>
      </c>
      <c r="U26">
        <v>403</v>
      </c>
    </row>
    <row r="27" spans="1:21" ht="22.5" x14ac:dyDescent="0.45">
      <c r="A27" s="132" t="s">
        <v>15</v>
      </c>
      <c r="B27" s="145"/>
      <c r="C27" s="148">
        <f>77.86+102.39</f>
        <v>180.25</v>
      </c>
      <c r="D27" s="150"/>
      <c r="E27" s="17"/>
      <c r="F27" s="18"/>
      <c r="H27" s="3" t="s">
        <v>16</v>
      </c>
      <c r="I27">
        <v>497.61</v>
      </c>
      <c r="J27">
        <v>210</v>
      </c>
      <c r="M27" s="3" t="s">
        <v>17</v>
      </c>
      <c r="N27" s="3">
        <v>376.61</v>
      </c>
      <c r="O27" s="3">
        <v>200</v>
      </c>
      <c r="P27" s="3"/>
    </row>
    <row r="28" spans="1:21" ht="22.5" x14ac:dyDescent="0.45">
      <c r="A28" s="132" t="s">
        <v>18</v>
      </c>
      <c r="B28" s="145"/>
      <c r="C28" s="148">
        <f>2.3+16.5+5.13+16.5+5.36+16.5+4.05+9.58+14.55+8.1+15.08+16.5+16.5+10.34+20.13+16.5+8.42+16.5+5.7+16.5+18.72+16.5+16.5+26.6+10.1+124.12+16.5+14.55+4.55+10.1+16.5-114.4</f>
        <v>401.08000000000004</v>
      </c>
      <c r="D28" s="151"/>
      <c r="E28" s="17"/>
      <c r="F28" s="18"/>
      <c r="I28">
        <v>561.37</v>
      </c>
      <c r="J28">
        <v>852</v>
      </c>
      <c r="N28">
        <v>375.55</v>
      </c>
      <c r="O28">
        <v>560</v>
      </c>
      <c r="U28">
        <f>SUM(U17:U27)</f>
        <v>3627</v>
      </c>
    </row>
    <row r="29" spans="1:21" ht="22.5" x14ac:dyDescent="0.45">
      <c r="A29" s="152" t="s">
        <v>19</v>
      </c>
      <c r="B29" s="145"/>
      <c r="C29" s="153">
        <f>1278.52*10+1329.25+1329.05</f>
        <v>15443.5</v>
      </c>
      <c r="D29" s="151"/>
      <c r="E29" s="17"/>
      <c r="F29" s="17"/>
      <c r="G29" s="19"/>
      <c r="I29">
        <v>589.75</v>
      </c>
      <c r="J29">
        <v>140</v>
      </c>
      <c r="N29">
        <v>345.8</v>
      </c>
      <c r="O29">
        <v>260</v>
      </c>
    </row>
    <row r="30" spans="1:21" ht="22.5" x14ac:dyDescent="0.45">
      <c r="A30" s="152" t="s">
        <v>101</v>
      </c>
      <c r="B30" s="145"/>
      <c r="C30" s="148">
        <f>344+346+346+346+346+346+346+346+346+346+345+345</f>
        <v>4148</v>
      </c>
      <c r="D30" s="151"/>
      <c r="E30" s="17"/>
      <c r="F30" s="17"/>
      <c r="G30" s="19"/>
      <c r="I30">
        <v>371.1</v>
      </c>
      <c r="J30">
        <v>0</v>
      </c>
      <c r="N30">
        <v>367.26</v>
      </c>
      <c r="O30">
        <v>0</v>
      </c>
    </row>
    <row r="31" spans="1:21" ht="22.5" x14ac:dyDescent="0.45">
      <c r="A31" s="152" t="s">
        <v>20</v>
      </c>
      <c r="B31" s="145"/>
      <c r="C31" s="148">
        <f>72.26+72.26+72.26+72.26+72.26+72.26+72.26+72.26+72.26+72.26+72.26+72.26+2406.4</f>
        <v>3273.52</v>
      </c>
      <c r="D31" s="151"/>
      <c r="E31" s="17"/>
      <c r="F31" s="17"/>
      <c r="G31" s="19"/>
      <c r="I31">
        <v>0</v>
      </c>
      <c r="J31">
        <v>0</v>
      </c>
      <c r="N31">
        <v>830</v>
      </c>
    </row>
    <row r="32" spans="1:21" ht="22.5" x14ac:dyDescent="0.45">
      <c r="A32" s="152" t="s">
        <v>21</v>
      </c>
      <c r="B32" s="145"/>
      <c r="C32" s="148">
        <v>2000</v>
      </c>
      <c r="D32" s="151"/>
      <c r="E32" s="17"/>
      <c r="G32" s="19"/>
      <c r="I32" s="22"/>
      <c r="J32" s="23"/>
      <c r="N32">
        <v>876</v>
      </c>
    </row>
    <row r="33" spans="1:16" ht="23.4" customHeight="1" x14ac:dyDescent="0.45">
      <c r="A33" s="152" t="s">
        <v>22</v>
      </c>
      <c r="B33" s="145"/>
      <c r="C33" s="148"/>
      <c r="D33" s="151"/>
      <c r="E33" s="17"/>
      <c r="I33" s="11">
        <f>SUM(I27:I32)</f>
        <v>2019.83</v>
      </c>
      <c r="J33" s="11">
        <f>SUM(J27:J31)</f>
        <v>1202</v>
      </c>
      <c r="K33" s="11">
        <f>SUM(K27:K30)</f>
        <v>0</v>
      </c>
      <c r="N33" s="11">
        <f>SUM(N27:N32)</f>
        <v>3171.2200000000003</v>
      </c>
      <c r="O33" s="11">
        <f>SUM(O27:O30)</f>
        <v>1020</v>
      </c>
      <c r="P33" s="11">
        <f>SUM(P27:P30)</f>
        <v>0</v>
      </c>
    </row>
    <row r="34" spans="1:16" ht="22.5" x14ac:dyDescent="0.45">
      <c r="A34" s="152" t="s">
        <v>23</v>
      </c>
      <c r="B34" s="145"/>
      <c r="C34" s="148">
        <f>85+85+85+85+85+85+85+85+85+85+85+85</f>
        <v>1020</v>
      </c>
      <c r="D34" s="151"/>
      <c r="E34" s="17"/>
      <c r="F34" s="17"/>
    </row>
    <row r="35" spans="1:16" ht="22.5" x14ac:dyDescent="0.45">
      <c r="A35" s="152" t="s">
        <v>24</v>
      </c>
      <c r="B35" s="145"/>
      <c r="C35" s="148">
        <f>150+150+150</f>
        <v>450</v>
      </c>
      <c r="D35" s="151"/>
      <c r="E35" s="17"/>
      <c r="H35" s="3" t="s">
        <v>25</v>
      </c>
      <c r="I35">
        <v>504.72</v>
      </c>
      <c r="J35">
        <v>623</v>
      </c>
      <c r="M35" s="3" t="s">
        <v>26</v>
      </c>
      <c r="N35" s="3">
        <v>435.55</v>
      </c>
      <c r="O35" s="3">
        <v>370</v>
      </c>
      <c r="P35" s="3"/>
    </row>
    <row r="36" spans="1:16" ht="22.5" x14ac:dyDescent="0.45">
      <c r="A36" s="152" t="s">
        <v>27</v>
      </c>
      <c r="B36" s="145"/>
      <c r="C36" s="148">
        <f>205.1*11+205.14</f>
        <v>2461.2399999999998</v>
      </c>
      <c r="D36" s="151"/>
      <c r="E36" s="17"/>
      <c r="F36" s="17"/>
      <c r="I36">
        <v>407.71</v>
      </c>
      <c r="J36">
        <v>610</v>
      </c>
      <c r="N36" s="3">
        <v>422.32</v>
      </c>
      <c r="O36" s="3">
        <v>710</v>
      </c>
      <c r="P36" s="3"/>
    </row>
    <row r="37" spans="1:16" ht="22.5" x14ac:dyDescent="0.45">
      <c r="A37" s="152" t="s">
        <v>80</v>
      </c>
      <c r="B37" s="145"/>
      <c r="C37" s="148">
        <v>600</v>
      </c>
      <c r="D37" s="151"/>
      <c r="E37" s="17"/>
      <c r="F37" s="19"/>
      <c r="I37">
        <v>396.75</v>
      </c>
      <c r="J37">
        <v>185</v>
      </c>
      <c r="N37" s="3">
        <v>355.24</v>
      </c>
      <c r="O37">
        <v>530</v>
      </c>
    </row>
    <row r="38" spans="1:16" ht="22.5" x14ac:dyDescent="0.45">
      <c r="A38" s="152" t="s">
        <v>85</v>
      </c>
      <c r="B38" s="145"/>
      <c r="C38" s="148">
        <v>387</v>
      </c>
      <c r="D38" s="151"/>
      <c r="E38" s="17"/>
      <c r="F38" s="19"/>
      <c r="I38">
        <v>382.27</v>
      </c>
      <c r="J38">
        <v>250</v>
      </c>
      <c r="N38" s="3">
        <v>578.52</v>
      </c>
      <c r="O38">
        <v>110</v>
      </c>
    </row>
    <row r="39" spans="1:16" ht="22.5" x14ac:dyDescent="0.45">
      <c r="A39" s="152" t="s">
        <v>81</v>
      </c>
      <c r="B39" s="145"/>
      <c r="C39" s="148">
        <v>180</v>
      </c>
      <c r="D39" s="151"/>
      <c r="E39" s="17"/>
      <c r="I39">
        <v>0</v>
      </c>
      <c r="J39">
        <v>950</v>
      </c>
      <c r="N39" s="3">
        <v>221.05</v>
      </c>
      <c r="O39">
        <v>261</v>
      </c>
    </row>
    <row r="40" spans="1:16" ht="22.5" x14ac:dyDescent="0.45">
      <c r="A40" s="152" t="s">
        <v>74</v>
      </c>
      <c r="B40" s="145"/>
      <c r="C40" s="148">
        <v>2500</v>
      </c>
      <c r="D40" s="151"/>
      <c r="E40" s="17"/>
      <c r="I40" s="11">
        <f>SUM(I35:I39)</f>
        <v>1691.45</v>
      </c>
      <c r="J40" s="11">
        <f>SUM(J35:J39)</f>
        <v>2618</v>
      </c>
      <c r="K40" s="11">
        <f>SUM(K35:K39)</f>
        <v>0</v>
      </c>
      <c r="N40" s="3">
        <v>200</v>
      </c>
    </row>
    <row r="41" spans="1:16" ht="22.5" x14ac:dyDescent="0.45">
      <c r="A41" s="152" t="s">
        <v>82</v>
      </c>
      <c r="B41" s="145"/>
      <c r="C41" s="154">
        <v>99</v>
      </c>
      <c r="D41" s="151"/>
      <c r="E41" s="17"/>
      <c r="N41" s="11">
        <f>SUM(N35:N40)</f>
        <v>2212.6800000000003</v>
      </c>
      <c r="O41" s="11">
        <f>SUM(O35:O40)</f>
        <v>1981</v>
      </c>
      <c r="P41" s="11">
        <f>SUM(P35:P40)</f>
        <v>0</v>
      </c>
    </row>
    <row r="42" spans="1:16" ht="16.75" customHeight="1" x14ac:dyDescent="0.45">
      <c r="A42" s="152"/>
      <c r="B42" s="145"/>
      <c r="C42" s="148"/>
      <c r="D42" s="151"/>
      <c r="E42" s="17"/>
      <c r="N42" s="11"/>
      <c r="O42" s="11"/>
      <c r="P42" s="11"/>
    </row>
    <row r="43" spans="1:16" ht="22.75" customHeight="1" x14ac:dyDescent="0.5">
      <c r="A43" s="155" t="s">
        <v>100</v>
      </c>
      <c r="B43" s="156"/>
      <c r="C43" s="157">
        <v>1008</v>
      </c>
      <c r="D43" s="151"/>
      <c r="E43" s="17"/>
      <c r="N43" s="11"/>
      <c r="O43" s="11"/>
      <c r="P43" s="11"/>
    </row>
    <row r="44" spans="1:16" ht="22.5" x14ac:dyDescent="0.45">
      <c r="A44" s="152" t="s">
        <v>87</v>
      </c>
      <c r="B44" s="145"/>
      <c r="C44" s="154">
        <f>750+970+750</f>
        <v>2470</v>
      </c>
      <c r="D44" s="151"/>
      <c r="E44" s="17"/>
      <c r="N44" s="11"/>
      <c r="O44" s="11"/>
      <c r="P44" s="11"/>
    </row>
    <row r="45" spans="1:16" ht="22.5" x14ac:dyDescent="0.45">
      <c r="A45" s="158" t="s">
        <v>88</v>
      </c>
      <c r="B45" s="145"/>
      <c r="C45" s="148">
        <v>300</v>
      </c>
      <c r="D45" s="151"/>
      <c r="E45" s="17"/>
      <c r="N45" s="11"/>
      <c r="O45" s="11"/>
      <c r="P45" s="11"/>
    </row>
    <row r="46" spans="1:16" ht="22.5" x14ac:dyDescent="0.45">
      <c r="A46" s="152" t="s">
        <v>86</v>
      </c>
      <c r="B46" s="145"/>
      <c r="C46" s="148">
        <v>500</v>
      </c>
      <c r="D46" s="151"/>
      <c r="E46" s="17"/>
      <c r="H46" s="3" t="s">
        <v>28</v>
      </c>
      <c r="I46">
        <v>408.8</v>
      </c>
      <c r="J46">
        <v>390</v>
      </c>
      <c r="M46" s="3"/>
    </row>
    <row r="47" spans="1:16" ht="22.5" x14ac:dyDescent="0.45">
      <c r="A47" s="159" t="s">
        <v>89</v>
      </c>
      <c r="B47" s="145"/>
      <c r="C47" s="148">
        <f>444.9+727.17</f>
        <v>1172.07</v>
      </c>
      <c r="D47" s="151"/>
      <c r="I47">
        <v>444.75</v>
      </c>
      <c r="J47">
        <v>890</v>
      </c>
      <c r="M47" s="3" t="s">
        <v>29</v>
      </c>
      <c r="N47" s="3">
        <v>506.6</v>
      </c>
      <c r="O47" s="3">
        <v>340</v>
      </c>
      <c r="P47" s="3"/>
    </row>
    <row r="48" spans="1:16" ht="22.5" x14ac:dyDescent="0.45">
      <c r="A48" s="159" t="s">
        <v>70</v>
      </c>
      <c r="B48" s="145"/>
      <c r="C48" s="148">
        <f>742+742+742</f>
        <v>2226</v>
      </c>
      <c r="D48" s="151"/>
      <c r="I48">
        <v>465</v>
      </c>
      <c r="J48">
        <v>250</v>
      </c>
      <c r="N48" s="3">
        <v>350</v>
      </c>
      <c r="O48" s="3">
        <v>530</v>
      </c>
      <c r="P48" s="3"/>
    </row>
    <row r="49" spans="1:16" ht="22.5" x14ac:dyDescent="0.45">
      <c r="A49" s="152" t="s">
        <v>91</v>
      </c>
      <c r="B49" s="145"/>
      <c r="C49" s="148">
        <v>400</v>
      </c>
      <c r="D49" s="151"/>
      <c r="H49" s="19"/>
      <c r="I49">
        <v>324.14999999999998</v>
      </c>
      <c r="J49">
        <v>100</v>
      </c>
      <c r="N49" s="3">
        <v>314.95</v>
      </c>
      <c r="O49">
        <v>140</v>
      </c>
      <c r="P49" s="3"/>
    </row>
    <row r="50" spans="1:16" ht="22.5" x14ac:dyDescent="0.45">
      <c r="A50" s="152" t="s">
        <v>96</v>
      </c>
      <c r="B50" s="145"/>
      <c r="C50" s="148">
        <v>17.670000000000002</v>
      </c>
      <c r="D50" s="151"/>
      <c r="I50" s="3">
        <v>301.10000000000002</v>
      </c>
      <c r="J50" s="11">
        <v>50</v>
      </c>
      <c r="K50" s="11"/>
      <c r="N50" s="3">
        <v>276.69</v>
      </c>
      <c r="O50">
        <v>360</v>
      </c>
      <c r="P50" s="3"/>
    </row>
    <row r="51" spans="1:16" ht="22.5" x14ac:dyDescent="0.45">
      <c r="A51" s="159" t="s">
        <v>97</v>
      </c>
      <c r="B51" s="145"/>
      <c r="C51" s="148">
        <v>26.21</v>
      </c>
      <c r="D51" s="151"/>
      <c r="I51" s="3"/>
      <c r="J51" s="11">
        <f>960+200</f>
        <v>1160</v>
      </c>
      <c r="K51" s="11"/>
      <c r="N51" s="3">
        <v>1132</v>
      </c>
      <c r="P51" s="3"/>
    </row>
    <row r="52" spans="1:16" ht="22.5" x14ac:dyDescent="0.45">
      <c r="A52" s="159"/>
      <c r="B52" s="145"/>
      <c r="C52" s="148"/>
      <c r="D52" s="151"/>
      <c r="I52" s="3"/>
      <c r="J52" s="11"/>
      <c r="K52" s="11"/>
      <c r="N52" s="3"/>
      <c r="O52">
        <v>0</v>
      </c>
      <c r="P52" s="3"/>
    </row>
    <row r="53" spans="1:16" ht="22.5" x14ac:dyDescent="0.45">
      <c r="A53" s="159"/>
      <c r="B53" s="145"/>
      <c r="C53" s="148"/>
      <c r="D53" s="151"/>
      <c r="I53" s="3"/>
      <c r="J53" s="11"/>
      <c r="K53" s="11"/>
      <c r="N53" s="3"/>
      <c r="P53" s="3"/>
    </row>
    <row r="54" spans="1:16" ht="22.5" x14ac:dyDescent="0.45">
      <c r="A54" s="159"/>
      <c r="B54" s="145"/>
      <c r="C54" s="148"/>
      <c r="D54" s="151"/>
      <c r="I54" s="3"/>
      <c r="J54" s="11"/>
      <c r="K54" s="11"/>
      <c r="N54" s="3"/>
      <c r="P54" s="3"/>
    </row>
    <row r="55" spans="1:16" ht="24" thickBot="1" x14ac:dyDescent="0.6">
      <c r="A55" s="160"/>
      <c r="B55" s="161"/>
      <c r="C55" s="162"/>
      <c r="D55" s="112"/>
      <c r="I55" s="11">
        <f>SUM(I46:I51)</f>
        <v>1943.7999999999997</v>
      </c>
      <c r="J55" s="11">
        <f>SUM(J46:J51)</f>
        <v>2840</v>
      </c>
      <c r="K55" s="11">
        <f>SUM(K46:K49)</f>
        <v>0</v>
      </c>
      <c r="N55" s="11">
        <f>SUM(N47:N51)</f>
        <v>2580.2399999999998</v>
      </c>
      <c r="O55" s="11">
        <f>SUM(O47:O52)</f>
        <v>1370</v>
      </c>
      <c r="P55" s="11">
        <f>SUM(P47:P50)</f>
        <v>0</v>
      </c>
    </row>
    <row r="56" spans="1:16" ht="24" thickBot="1" x14ac:dyDescent="0.6">
      <c r="A56" s="163" t="s">
        <v>30</v>
      </c>
      <c r="B56" s="164">
        <f>SUM(B25:B50)</f>
        <v>0</v>
      </c>
      <c r="C56" s="165">
        <f>SUM(C25:C55)</f>
        <v>42704.189999999995</v>
      </c>
      <c r="D56" s="166"/>
      <c r="G56" s="19"/>
    </row>
    <row r="57" spans="1:16" ht="23.5" x14ac:dyDescent="0.55000000000000004">
      <c r="A57" s="167"/>
      <c r="B57" s="168"/>
      <c r="C57" s="168"/>
      <c r="D57" s="166"/>
      <c r="G57" s="19"/>
    </row>
    <row r="58" spans="1:16" ht="23" x14ac:dyDescent="0.5">
      <c r="A58" s="169" t="s">
        <v>0</v>
      </c>
      <c r="B58" s="170"/>
      <c r="C58" s="169"/>
      <c r="D58" s="170"/>
    </row>
    <row r="59" spans="1:16" ht="29.25" customHeight="1" x14ac:dyDescent="0.5">
      <c r="A59" s="170" t="s">
        <v>1</v>
      </c>
      <c r="B59" s="170"/>
      <c r="C59" s="170"/>
      <c r="D59" s="170"/>
    </row>
    <row r="60" spans="1:16" ht="23.5" x14ac:dyDescent="0.55000000000000004">
      <c r="A60" s="167"/>
      <c r="B60" s="168"/>
      <c r="C60" s="171"/>
      <c r="D60" s="112"/>
    </row>
    <row r="61" spans="1:16" ht="24" thickBot="1" x14ac:dyDescent="0.6">
      <c r="A61" s="167"/>
      <c r="B61" s="168"/>
      <c r="C61" s="171"/>
      <c r="D61" s="112"/>
    </row>
    <row r="62" spans="1:16" ht="25.5" customHeight="1" thickBot="1" x14ac:dyDescent="0.55000000000000004">
      <c r="A62" s="172" t="s">
        <v>31</v>
      </c>
      <c r="B62" s="173"/>
      <c r="C62" s="174"/>
      <c r="D62" s="143" t="s">
        <v>32</v>
      </c>
    </row>
    <row r="63" spans="1:16" ht="23" x14ac:dyDescent="0.5">
      <c r="A63" s="175" t="s">
        <v>83</v>
      </c>
      <c r="B63" s="176"/>
      <c r="C63" s="177">
        <f>B20</f>
        <v>50800.14</v>
      </c>
      <c r="D63" s="178">
        <f>C56</f>
        <v>42704.189999999995</v>
      </c>
      <c r="G63" s="14"/>
    </row>
    <row r="64" spans="1:16" ht="23.5" x14ac:dyDescent="0.55000000000000004">
      <c r="A64" s="179"/>
      <c r="B64" s="180"/>
      <c r="C64" s="181"/>
      <c r="D64" s="182"/>
    </row>
    <row r="65" spans="1:9" ht="23.5" x14ac:dyDescent="0.55000000000000004">
      <c r="A65" s="167"/>
      <c r="B65" s="180"/>
      <c r="C65" s="183"/>
      <c r="D65" s="182"/>
      <c r="E65" s="19"/>
      <c r="F65" s="19"/>
      <c r="G65" s="19"/>
    </row>
    <row r="66" spans="1:9" ht="23.5" x14ac:dyDescent="0.55000000000000004">
      <c r="A66" s="136"/>
      <c r="B66" s="180"/>
      <c r="C66" s="184"/>
      <c r="D66" s="182"/>
      <c r="G66" s="19"/>
      <c r="H66" s="19"/>
    </row>
    <row r="67" spans="1:9" ht="23" x14ac:dyDescent="0.5">
      <c r="A67" s="136" t="s">
        <v>84</v>
      </c>
      <c r="B67" s="180"/>
      <c r="C67" s="133">
        <f>C56</f>
        <v>42704.189999999995</v>
      </c>
      <c r="D67" s="133">
        <f>SUM(D63:D64)</f>
        <v>42704.189999999995</v>
      </c>
    </row>
    <row r="68" spans="1:9" ht="23.5" x14ac:dyDescent="0.55000000000000004">
      <c r="A68" s="136"/>
      <c r="B68" s="180"/>
      <c r="C68" s="182"/>
      <c r="D68" s="182"/>
      <c r="I68" s="19"/>
    </row>
    <row r="69" spans="1:9" ht="23.5" x14ac:dyDescent="0.55000000000000004">
      <c r="A69" s="136"/>
      <c r="B69" s="180"/>
      <c r="C69" s="134"/>
      <c r="D69" s="182"/>
    </row>
    <row r="70" spans="1:9" ht="23.5" x14ac:dyDescent="0.55000000000000004">
      <c r="A70" s="136"/>
      <c r="B70" s="180"/>
      <c r="C70" s="182"/>
      <c r="D70" s="182"/>
    </row>
    <row r="71" spans="1:9" ht="52.75" customHeight="1" x14ac:dyDescent="0.5">
      <c r="A71" s="136"/>
      <c r="B71" s="180" t="s">
        <v>33</v>
      </c>
      <c r="C71" s="201">
        <f>SUM(C63-C67)-C69</f>
        <v>8095.9500000000044</v>
      </c>
      <c r="D71" s="202"/>
      <c r="E71" s="14"/>
      <c r="F71" s="14"/>
      <c r="G71" s="14"/>
    </row>
    <row r="72" spans="1:9" ht="23.5" x14ac:dyDescent="0.55000000000000004">
      <c r="A72" s="185"/>
      <c r="B72" s="186"/>
      <c r="C72" s="187"/>
      <c r="D72" s="187"/>
    </row>
    <row r="73" spans="1:9" ht="23.5" x14ac:dyDescent="0.55000000000000004">
      <c r="A73" s="188"/>
      <c r="B73" s="189"/>
      <c r="C73" s="190"/>
      <c r="D73" s="190"/>
      <c r="H73" s="14"/>
    </row>
    <row r="74" spans="1:9" ht="23.5" x14ac:dyDescent="0.55000000000000004">
      <c r="A74" s="167"/>
      <c r="B74" s="191"/>
      <c r="C74" s="112"/>
      <c r="D74" s="112"/>
    </row>
    <row r="75" spans="1:9" ht="23.5" x14ac:dyDescent="0.55000000000000004">
      <c r="A75" s="112"/>
      <c r="B75" s="112"/>
      <c r="C75" s="112"/>
      <c r="D75" s="112"/>
    </row>
    <row r="76" spans="1:9" ht="16.5" customHeight="1" x14ac:dyDescent="0.55000000000000004">
      <c r="A76" s="112"/>
      <c r="B76" s="112"/>
      <c r="C76" s="112"/>
      <c r="D76" s="112"/>
    </row>
    <row r="77" spans="1:9" ht="31.5" customHeight="1" x14ac:dyDescent="0.55000000000000004">
      <c r="A77" s="112"/>
      <c r="B77" s="112"/>
      <c r="C77" s="112"/>
      <c r="D77" s="112"/>
    </row>
    <row r="88" ht="15.75" customHeight="1" x14ac:dyDescent="0.35"/>
    <row r="89" ht="53.25" customHeight="1" x14ac:dyDescent="0.35"/>
    <row r="92" ht="15.75" customHeight="1" x14ac:dyDescent="0.35"/>
    <row r="93" ht="15.75" customHeight="1" x14ac:dyDescent="0.35"/>
    <row r="95" ht="21" customHeight="1" x14ac:dyDescent="0.35"/>
    <row r="140" spans="8:8" ht="18.75" customHeight="1" x14ac:dyDescent="0.35"/>
    <row r="142" spans="8:8" ht="39" customHeight="1" x14ac:dyDescent="0.35">
      <c r="H142" s="19" t="e">
        <f>[1]RESULTAT!#REF!-[1]RESULTAT!C14</f>
        <v>#REF!</v>
      </c>
    </row>
    <row r="145" s="20" customFormat="1" ht="39" customHeight="1" x14ac:dyDescent="0.35"/>
    <row r="147" ht="39.75" customHeight="1" x14ac:dyDescent="0.35"/>
    <row r="177" spans="1:1" x14ac:dyDescent="0.35">
      <c r="A177" s="5"/>
    </row>
    <row r="178" spans="1:1" ht="15.5" x14ac:dyDescent="0.35">
      <c r="A178" s="21"/>
    </row>
    <row r="179" spans="1:1" ht="15.5" x14ac:dyDescent="0.35">
      <c r="A179" s="21"/>
    </row>
    <row r="180" spans="1:1" ht="15.5" x14ac:dyDescent="0.35">
      <c r="A180" s="21"/>
    </row>
    <row r="181" spans="1:1" ht="15.5" x14ac:dyDescent="0.35">
      <c r="A181" s="21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  <row r="203" spans="1:1" x14ac:dyDescent="0.35">
      <c r="A203" s="5"/>
    </row>
    <row r="204" spans="1:1" x14ac:dyDescent="0.35">
      <c r="A204" s="5"/>
    </row>
    <row r="205" spans="1:1" x14ac:dyDescent="0.35">
      <c r="A205" s="5"/>
    </row>
    <row r="206" spans="1:1" x14ac:dyDescent="0.35">
      <c r="A206" s="5"/>
    </row>
    <row r="207" spans="1:1" x14ac:dyDescent="0.35">
      <c r="A207" s="5"/>
    </row>
    <row r="208" spans="1:1" x14ac:dyDescent="0.35">
      <c r="A208" s="5"/>
    </row>
    <row r="209" spans="1:1" x14ac:dyDescent="0.35">
      <c r="A209" s="5"/>
    </row>
    <row r="210" spans="1:1" x14ac:dyDescent="0.35">
      <c r="A210" s="5"/>
    </row>
    <row r="211" spans="1:1" x14ac:dyDescent="0.35">
      <c r="A211" s="5"/>
    </row>
    <row r="212" spans="1:1" x14ac:dyDescent="0.35">
      <c r="A212" s="5"/>
    </row>
    <row r="213" spans="1:1" x14ac:dyDescent="0.35">
      <c r="A213" s="5"/>
    </row>
    <row r="214" spans="1:1" x14ac:dyDescent="0.35">
      <c r="A214" s="5"/>
    </row>
    <row r="215" spans="1:1" x14ac:dyDescent="0.35">
      <c r="A215" s="5"/>
    </row>
    <row r="216" spans="1:1" x14ac:dyDescent="0.35">
      <c r="A216" s="5"/>
    </row>
    <row r="217" spans="1:1" x14ac:dyDescent="0.35">
      <c r="A217" s="5"/>
    </row>
    <row r="218" spans="1:1" x14ac:dyDescent="0.35">
      <c r="A218" s="5"/>
    </row>
    <row r="219" spans="1:1" x14ac:dyDescent="0.35">
      <c r="A219" s="5"/>
    </row>
    <row r="220" spans="1:1" x14ac:dyDescent="0.35">
      <c r="A220" s="5"/>
    </row>
    <row r="221" spans="1:1" x14ac:dyDescent="0.35">
      <c r="A221" s="5"/>
    </row>
    <row r="222" spans="1:1" x14ac:dyDescent="0.35">
      <c r="A222" s="5"/>
    </row>
    <row r="223" spans="1:1" x14ac:dyDescent="0.35">
      <c r="A223" s="5"/>
    </row>
    <row r="224" spans="1:1" x14ac:dyDescent="0.35">
      <c r="A224" s="5"/>
    </row>
    <row r="225" spans="1:1" x14ac:dyDescent="0.35">
      <c r="A225" s="5"/>
    </row>
    <row r="226" spans="1:1" x14ac:dyDescent="0.35">
      <c r="A226" s="5"/>
    </row>
    <row r="227" spans="1:1" x14ac:dyDescent="0.35">
      <c r="A227" s="5"/>
    </row>
    <row r="228" spans="1:1" x14ac:dyDescent="0.35">
      <c r="A228" s="5"/>
    </row>
    <row r="229" spans="1:1" x14ac:dyDescent="0.35">
      <c r="A229" s="5"/>
    </row>
    <row r="230" spans="1:1" x14ac:dyDescent="0.35">
      <c r="A230" s="5"/>
    </row>
    <row r="231" spans="1:1" x14ac:dyDescent="0.35">
      <c r="A231" s="5"/>
    </row>
    <row r="232" spans="1:1" x14ac:dyDescent="0.35">
      <c r="A232" s="5"/>
    </row>
    <row r="233" spans="1:1" x14ac:dyDescent="0.35">
      <c r="A233" s="5"/>
    </row>
    <row r="234" spans="1:1" x14ac:dyDescent="0.35">
      <c r="A234" s="5"/>
    </row>
    <row r="235" spans="1:1" x14ac:dyDescent="0.35">
      <c r="A235" s="5"/>
    </row>
    <row r="236" spans="1:1" x14ac:dyDescent="0.35">
      <c r="A236" s="5"/>
    </row>
    <row r="237" spans="1:1" x14ac:dyDescent="0.35">
      <c r="A237" s="5"/>
    </row>
    <row r="238" spans="1:1" x14ac:dyDescent="0.35">
      <c r="A238" s="5"/>
    </row>
    <row r="239" spans="1:1" x14ac:dyDescent="0.35">
      <c r="A239" s="5"/>
    </row>
    <row r="240" spans="1:1" x14ac:dyDescent="0.35">
      <c r="A240" s="5"/>
    </row>
    <row r="241" spans="1:1" x14ac:dyDescent="0.35">
      <c r="A241" s="5"/>
    </row>
    <row r="242" spans="1:1" x14ac:dyDescent="0.35">
      <c r="A242" s="5"/>
    </row>
    <row r="243" spans="1:1" x14ac:dyDescent="0.35">
      <c r="A243" s="5"/>
    </row>
    <row r="244" spans="1:1" x14ac:dyDescent="0.35">
      <c r="A244" s="5"/>
    </row>
    <row r="245" spans="1:1" x14ac:dyDescent="0.35">
      <c r="A245" s="5"/>
    </row>
    <row r="246" spans="1:1" x14ac:dyDescent="0.35">
      <c r="A246" s="5"/>
    </row>
    <row r="247" spans="1:1" x14ac:dyDescent="0.35">
      <c r="A247" s="5"/>
    </row>
    <row r="248" spans="1:1" x14ac:dyDescent="0.35">
      <c r="A248" s="5"/>
    </row>
    <row r="249" spans="1:1" x14ac:dyDescent="0.35">
      <c r="A249" s="5"/>
    </row>
    <row r="250" spans="1:1" x14ac:dyDescent="0.35">
      <c r="A250" s="5"/>
    </row>
    <row r="251" spans="1:1" x14ac:dyDescent="0.35">
      <c r="A251" s="5"/>
    </row>
    <row r="252" spans="1:1" x14ac:dyDescent="0.35">
      <c r="A252" s="5"/>
    </row>
    <row r="253" spans="1:1" x14ac:dyDescent="0.35">
      <c r="A253" s="5"/>
    </row>
    <row r="254" spans="1:1" x14ac:dyDescent="0.35">
      <c r="A254" s="5"/>
    </row>
    <row r="255" spans="1:1" x14ac:dyDescent="0.35">
      <c r="A255" s="5"/>
    </row>
    <row r="256" spans="1:1" x14ac:dyDescent="0.35">
      <c r="A256" s="5"/>
    </row>
    <row r="257" spans="1:1" x14ac:dyDescent="0.35">
      <c r="A257" s="5"/>
    </row>
    <row r="258" spans="1:1" x14ac:dyDescent="0.35">
      <c r="A258" s="5"/>
    </row>
    <row r="259" spans="1:1" x14ac:dyDescent="0.35">
      <c r="A259" s="5"/>
    </row>
    <row r="260" spans="1:1" x14ac:dyDescent="0.35">
      <c r="A260" s="5"/>
    </row>
    <row r="261" spans="1:1" x14ac:dyDescent="0.35">
      <c r="A261" s="5"/>
    </row>
    <row r="262" spans="1:1" x14ac:dyDescent="0.35">
      <c r="A262" s="5"/>
    </row>
    <row r="263" spans="1:1" x14ac:dyDescent="0.35">
      <c r="A263" s="5"/>
    </row>
    <row r="264" spans="1:1" x14ac:dyDescent="0.35">
      <c r="A264" s="5"/>
    </row>
    <row r="265" spans="1:1" x14ac:dyDescent="0.35">
      <c r="A265" s="5"/>
    </row>
    <row r="266" spans="1:1" x14ac:dyDescent="0.35">
      <c r="A266" s="5"/>
    </row>
    <row r="267" spans="1:1" x14ac:dyDescent="0.35">
      <c r="A267" s="5"/>
    </row>
    <row r="268" spans="1:1" x14ac:dyDescent="0.35">
      <c r="A268" s="5"/>
    </row>
    <row r="269" spans="1:1" x14ac:dyDescent="0.35">
      <c r="A269" s="5"/>
    </row>
    <row r="270" spans="1:1" x14ac:dyDescent="0.35">
      <c r="A270" s="5"/>
    </row>
    <row r="271" spans="1:1" x14ac:dyDescent="0.35">
      <c r="A271" s="5"/>
    </row>
    <row r="272" spans="1:1" x14ac:dyDescent="0.35">
      <c r="A272" s="5"/>
    </row>
    <row r="273" spans="1:1" x14ac:dyDescent="0.35">
      <c r="A273" s="5"/>
    </row>
    <row r="274" spans="1:1" x14ac:dyDescent="0.35">
      <c r="A274" s="5"/>
    </row>
    <row r="275" spans="1:1" x14ac:dyDescent="0.35">
      <c r="A275" s="5"/>
    </row>
    <row r="276" spans="1:1" x14ac:dyDescent="0.35">
      <c r="A276" s="5"/>
    </row>
    <row r="277" spans="1:1" x14ac:dyDescent="0.35">
      <c r="A277" s="5"/>
    </row>
    <row r="278" spans="1:1" x14ac:dyDescent="0.35">
      <c r="A278" s="5"/>
    </row>
    <row r="279" spans="1:1" x14ac:dyDescent="0.35">
      <c r="A279" s="5"/>
    </row>
    <row r="280" spans="1:1" x14ac:dyDescent="0.35">
      <c r="A280" s="5"/>
    </row>
    <row r="281" spans="1:1" x14ac:dyDescent="0.35">
      <c r="A281" s="5"/>
    </row>
    <row r="282" spans="1:1" x14ac:dyDescent="0.35">
      <c r="A282" s="5"/>
    </row>
    <row r="283" spans="1:1" x14ac:dyDescent="0.35">
      <c r="A283" s="5"/>
    </row>
    <row r="284" spans="1:1" x14ac:dyDescent="0.35">
      <c r="A284" s="5"/>
    </row>
    <row r="285" spans="1:1" x14ac:dyDescent="0.35">
      <c r="A285" s="5"/>
    </row>
    <row r="286" spans="1:1" x14ac:dyDescent="0.35">
      <c r="A286" s="5"/>
    </row>
    <row r="287" spans="1:1" x14ac:dyDescent="0.35">
      <c r="A287" s="5"/>
    </row>
    <row r="288" spans="1:1" x14ac:dyDescent="0.35">
      <c r="A288" s="5"/>
    </row>
    <row r="289" spans="1:1" x14ac:dyDescent="0.35">
      <c r="A289" s="5"/>
    </row>
    <row r="290" spans="1:1" x14ac:dyDescent="0.35">
      <c r="A290" s="5"/>
    </row>
    <row r="291" spans="1:1" x14ac:dyDescent="0.35">
      <c r="A291" s="5"/>
    </row>
    <row r="292" spans="1:1" x14ac:dyDescent="0.35">
      <c r="A292" s="5"/>
    </row>
    <row r="293" spans="1:1" x14ac:dyDescent="0.35">
      <c r="A293" s="5"/>
    </row>
    <row r="294" spans="1:1" x14ac:dyDescent="0.35">
      <c r="A294" s="5"/>
    </row>
    <row r="295" spans="1:1" x14ac:dyDescent="0.35">
      <c r="A295" s="5"/>
    </row>
    <row r="296" spans="1:1" x14ac:dyDescent="0.35">
      <c r="A296" s="5"/>
    </row>
    <row r="297" spans="1:1" x14ac:dyDescent="0.35">
      <c r="A297" s="5"/>
    </row>
    <row r="298" spans="1:1" x14ac:dyDescent="0.35">
      <c r="A298" s="5"/>
    </row>
    <row r="299" spans="1:1" x14ac:dyDescent="0.35">
      <c r="A299" s="5"/>
    </row>
    <row r="300" spans="1:1" x14ac:dyDescent="0.35">
      <c r="A300" s="5"/>
    </row>
    <row r="301" spans="1:1" x14ac:dyDescent="0.35">
      <c r="A301" s="5"/>
    </row>
    <row r="302" spans="1:1" x14ac:dyDescent="0.35">
      <c r="A302" s="5"/>
    </row>
    <row r="303" spans="1:1" x14ac:dyDescent="0.35">
      <c r="A303" s="5"/>
    </row>
    <row r="304" spans="1:1" x14ac:dyDescent="0.35">
      <c r="A304" s="5"/>
    </row>
    <row r="305" spans="1:1" x14ac:dyDescent="0.35">
      <c r="A305" s="5"/>
    </row>
    <row r="306" spans="1:1" x14ac:dyDescent="0.35">
      <c r="A306" s="5"/>
    </row>
    <row r="307" spans="1:1" x14ac:dyDescent="0.35">
      <c r="A307" s="5"/>
    </row>
    <row r="308" spans="1:1" x14ac:dyDescent="0.35">
      <c r="A308" s="5"/>
    </row>
    <row r="309" spans="1:1" x14ac:dyDescent="0.35">
      <c r="A309" s="5"/>
    </row>
    <row r="310" spans="1:1" x14ac:dyDescent="0.35">
      <c r="A310" s="5"/>
    </row>
    <row r="311" spans="1:1" x14ac:dyDescent="0.35">
      <c r="A311" s="5"/>
    </row>
    <row r="312" spans="1:1" x14ac:dyDescent="0.35">
      <c r="A312" s="5"/>
    </row>
    <row r="313" spans="1:1" x14ac:dyDescent="0.35">
      <c r="A313" s="5"/>
    </row>
    <row r="314" spans="1:1" x14ac:dyDescent="0.35">
      <c r="A314" s="5"/>
    </row>
    <row r="315" spans="1:1" x14ac:dyDescent="0.35">
      <c r="A315" s="5"/>
    </row>
    <row r="316" spans="1:1" x14ac:dyDescent="0.35">
      <c r="A316" s="5"/>
    </row>
    <row r="317" spans="1:1" x14ac:dyDescent="0.35">
      <c r="A317" s="5"/>
    </row>
    <row r="318" spans="1:1" x14ac:dyDescent="0.35">
      <c r="A318" s="5"/>
    </row>
    <row r="319" spans="1:1" x14ac:dyDescent="0.35">
      <c r="A319" s="5"/>
    </row>
    <row r="320" spans="1:1" x14ac:dyDescent="0.35">
      <c r="A320" s="5"/>
    </row>
    <row r="321" spans="1:1" x14ac:dyDescent="0.35">
      <c r="A321" s="5"/>
    </row>
    <row r="322" spans="1:1" x14ac:dyDescent="0.35">
      <c r="A322" s="5"/>
    </row>
    <row r="323" spans="1:1" x14ac:dyDescent="0.35">
      <c r="A323" s="5"/>
    </row>
    <row r="324" spans="1:1" x14ac:dyDescent="0.35">
      <c r="A324" s="5"/>
    </row>
    <row r="325" spans="1:1" x14ac:dyDescent="0.35">
      <c r="A325" s="5"/>
    </row>
    <row r="326" spans="1:1" x14ac:dyDescent="0.35">
      <c r="A326" s="5"/>
    </row>
    <row r="327" spans="1:1" x14ac:dyDescent="0.35">
      <c r="A327" s="5"/>
    </row>
    <row r="328" spans="1:1" x14ac:dyDescent="0.35">
      <c r="A328" s="5"/>
    </row>
    <row r="329" spans="1:1" x14ac:dyDescent="0.35">
      <c r="A329" s="5"/>
    </row>
    <row r="330" spans="1:1" x14ac:dyDescent="0.35">
      <c r="A330" s="5"/>
    </row>
    <row r="331" spans="1:1" x14ac:dyDescent="0.35">
      <c r="A331" s="5"/>
    </row>
    <row r="332" spans="1:1" x14ac:dyDescent="0.35">
      <c r="A332" s="5"/>
    </row>
    <row r="333" spans="1:1" x14ac:dyDescent="0.35">
      <c r="A333" s="5"/>
    </row>
    <row r="334" spans="1:1" x14ac:dyDescent="0.35">
      <c r="A334" s="5"/>
    </row>
    <row r="335" spans="1:1" x14ac:dyDescent="0.35">
      <c r="A335" s="5"/>
    </row>
    <row r="336" spans="1:1" x14ac:dyDescent="0.35">
      <c r="A336" s="5"/>
    </row>
    <row r="337" spans="1:1" x14ac:dyDescent="0.35">
      <c r="A337" s="5"/>
    </row>
    <row r="338" spans="1:1" x14ac:dyDescent="0.35">
      <c r="A338" s="5"/>
    </row>
    <row r="339" spans="1:1" x14ac:dyDescent="0.35">
      <c r="A339" s="5"/>
    </row>
    <row r="340" spans="1:1" x14ac:dyDescent="0.35">
      <c r="A340" s="5"/>
    </row>
    <row r="341" spans="1:1" x14ac:dyDescent="0.35">
      <c r="A341" s="5"/>
    </row>
    <row r="342" spans="1:1" x14ac:dyDescent="0.35">
      <c r="A342" s="5"/>
    </row>
    <row r="343" spans="1:1" x14ac:dyDescent="0.35">
      <c r="A343" s="5"/>
    </row>
    <row r="344" spans="1:1" x14ac:dyDescent="0.35">
      <c r="A344" s="5"/>
    </row>
    <row r="345" spans="1:1" x14ac:dyDescent="0.35">
      <c r="A345" s="5"/>
    </row>
    <row r="346" spans="1:1" x14ac:dyDescent="0.35">
      <c r="A346" s="5"/>
    </row>
    <row r="347" spans="1:1" x14ac:dyDescent="0.35">
      <c r="A347" s="5"/>
    </row>
    <row r="348" spans="1:1" x14ac:dyDescent="0.35">
      <c r="A348" s="5"/>
    </row>
    <row r="349" spans="1:1" x14ac:dyDescent="0.35">
      <c r="A349" s="5"/>
    </row>
    <row r="350" spans="1:1" x14ac:dyDescent="0.35">
      <c r="A350" s="5"/>
    </row>
    <row r="351" spans="1:1" x14ac:dyDescent="0.35">
      <c r="A351" s="5"/>
    </row>
    <row r="352" spans="1:1" x14ac:dyDescent="0.35">
      <c r="A352" s="5"/>
    </row>
    <row r="353" spans="1:1" x14ac:dyDescent="0.35">
      <c r="A353" s="5"/>
    </row>
    <row r="354" spans="1:1" x14ac:dyDescent="0.35">
      <c r="A354" s="5"/>
    </row>
    <row r="355" spans="1:1" x14ac:dyDescent="0.35">
      <c r="A355" s="5"/>
    </row>
    <row r="356" spans="1:1" x14ac:dyDescent="0.35">
      <c r="A356" s="5"/>
    </row>
    <row r="357" spans="1:1" x14ac:dyDescent="0.35">
      <c r="A357" s="5"/>
    </row>
    <row r="358" spans="1:1" x14ac:dyDescent="0.35">
      <c r="A358" s="5"/>
    </row>
    <row r="359" spans="1:1" x14ac:dyDescent="0.35">
      <c r="A359" s="5"/>
    </row>
    <row r="360" spans="1:1" x14ac:dyDescent="0.35">
      <c r="A360" s="5"/>
    </row>
    <row r="361" spans="1:1" x14ac:dyDescent="0.35">
      <c r="A361" s="5"/>
    </row>
    <row r="362" spans="1:1" x14ac:dyDescent="0.35">
      <c r="A362" s="5"/>
    </row>
  </sheetData>
  <mergeCells count="3">
    <mergeCell ref="A6:C6"/>
    <mergeCell ref="A22:C22"/>
    <mergeCell ref="C71:D71"/>
  </mergeCells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945E-BD46-4506-A517-3F50C7FF3C1C}">
  <dimension ref="A1:I28"/>
  <sheetViews>
    <sheetView topLeftCell="A12" workbookViewId="0">
      <selection activeCell="B10" sqref="B10"/>
    </sheetView>
  </sheetViews>
  <sheetFormatPr baseColWidth="10" defaultRowHeight="14.5" x14ac:dyDescent="0.35"/>
  <cols>
    <col min="1" max="1" width="51.453125" customWidth="1"/>
    <col min="2" max="2" width="26" customWidth="1"/>
    <col min="3" max="3" width="23" customWidth="1"/>
    <col min="6" max="6" width="14.36328125" bestFit="1" customWidth="1"/>
  </cols>
  <sheetData>
    <row r="1" spans="1:9" x14ac:dyDescent="0.35">
      <c r="A1" s="203" t="s">
        <v>34</v>
      </c>
      <c r="B1" s="204"/>
      <c r="C1" s="205"/>
    </row>
    <row r="2" spans="1:9" x14ac:dyDescent="0.35">
      <c r="A2" s="206"/>
      <c r="B2" s="207"/>
      <c r="C2" s="208"/>
    </row>
    <row r="3" spans="1:9" ht="16" thickBot="1" x14ac:dyDescent="0.4">
      <c r="A3" s="209" t="s">
        <v>35</v>
      </c>
      <c r="B3" s="210"/>
      <c r="C3" s="211"/>
    </row>
    <row r="4" spans="1:9" ht="15.5" x14ac:dyDescent="0.35">
      <c r="A4" s="24"/>
      <c r="B4" s="4"/>
    </row>
    <row r="5" spans="1:9" ht="16" thickBot="1" x14ac:dyDescent="0.4">
      <c r="A5" s="24"/>
      <c r="B5" s="4"/>
    </row>
    <row r="6" spans="1:9" ht="6.65" customHeight="1" x14ac:dyDescent="0.35">
      <c r="A6" s="25"/>
      <c r="B6" s="26"/>
      <c r="C6" s="27"/>
    </row>
    <row r="7" spans="1:9" ht="14.4" customHeight="1" x14ac:dyDescent="0.4">
      <c r="A7" s="28"/>
      <c r="B7" s="29"/>
      <c r="C7" s="30"/>
    </row>
    <row r="8" spans="1:9" ht="24.65" customHeight="1" x14ac:dyDescent="0.4">
      <c r="A8" s="28" t="s">
        <v>36</v>
      </c>
      <c r="B8" s="32"/>
      <c r="C8" s="33"/>
      <c r="D8" s="19"/>
      <c r="F8" s="19"/>
      <c r="I8" s="17"/>
    </row>
    <row r="9" spans="1:9" ht="43.25" customHeight="1" x14ac:dyDescent="0.4">
      <c r="A9" s="15" t="s">
        <v>95</v>
      </c>
      <c r="B9" s="32">
        <v>8095.95</v>
      </c>
      <c r="C9" s="33"/>
    </row>
    <row r="10" spans="1:9" ht="18" x14ac:dyDescent="0.4">
      <c r="A10" s="15" t="s">
        <v>93</v>
      </c>
      <c r="B10" s="34">
        <v>19800</v>
      </c>
      <c r="C10" s="35"/>
      <c r="D10" s="19"/>
    </row>
    <row r="11" spans="1:9" ht="18" x14ac:dyDescent="0.4">
      <c r="A11" s="15" t="s">
        <v>98</v>
      </c>
      <c r="B11" s="34">
        <v>7000</v>
      </c>
      <c r="C11" s="35"/>
      <c r="D11" s="19"/>
    </row>
    <row r="12" spans="1:9" ht="18" x14ac:dyDescent="0.4">
      <c r="A12" s="15" t="s">
        <v>94</v>
      </c>
      <c r="B12" s="34">
        <v>4700</v>
      </c>
      <c r="C12" s="35"/>
    </row>
    <row r="13" spans="1:9" ht="20" x14ac:dyDescent="0.4">
      <c r="A13" s="36" t="s">
        <v>37</v>
      </c>
      <c r="B13" s="37">
        <f>SUM(B8:B12)</f>
        <v>39595.949999999997</v>
      </c>
      <c r="C13" s="38"/>
      <c r="D13" s="19"/>
      <c r="E13" s="19"/>
    </row>
    <row r="14" spans="1:9" ht="18" x14ac:dyDescent="0.4">
      <c r="A14" s="16"/>
      <c r="B14" s="39"/>
      <c r="C14" s="40"/>
    </row>
    <row r="15" spans="1:9" ht="40" x14ac:dyDescent="0.35">
      <c r="A15" s="41" t="s">
        <v>90</v>
      </c>
      <c r="B15" s="42"/>
      <c r="C15" s="43">
        <f>+B13</f>
        <v>39595.949999999997</v>
      </c>
    </row>
    <row r="16" spans="1:9" ht="16.5" x14ac:dyDescent="0.35">
      <c r="A16" s="31"/>
      <c r="B16" s="44"/>
      <c r="C16" s="33"/>
    </row>
    <row r="17" spans="1:3" ht="16.5" x14ac:dyDescent="0.35">
      <c r="A17" s="31"/>
      <c r="B17" s="45"/>
      <c r="C17" s="46"/>
    </row>
    <row r="18" spans="1:3" ht="33.5" thickBot="1" x14ac:dyDescent="0.4">
      <c r="A18" s="47" t="s">
        <v>102</v>
      </c>
      <c r="B18" s="48"/>
      <c r="C18" s="49">
        <f>SUM(C15)</f>
        <v>39595.949999999997</v>
      </c>
    </row>
    <row r="19" spans="1:3" ht="20.5" thickBot="1" x14ac:dyDescent="0.4">
      <c r="A19" s="50"/>
      <c r="B19" s="51"/>
      <c r="C19" s="52"/>
    </row>
    <row r="20" spans="1:3" ht="33.5" thickBot="1" x14ac:dyDescent="0.4">
      <c r="A20" s="53" t="s">
        <v>103</v>
      </c>
      <c r="B20" s="54"/>
      <c r="C20" s="55">
        <f>+C18-(+C19)</f>
        <v>39595.949999999997</v>
      </c>
    </row>
    <row r="21" spans="1:3" ht="20" x14ac:dyDescent="0.35">
      <c r="A21" s="50"/>
      <c r="B21" s="52"/>
      <c r="C21" s="52"/>
    </row>
    <row r="22" spans="1:3" ht="20" x14ac:dyDescent="0.35">
      <c r="A22" s="56"/>
      <c r="B22" s="57"/>
      <c r="C22" s="57"/>
    </row>
    <row r="23" spans="1:3" ht="20.5" thickBot="1" x14ac:dyDescent="0.4">
      <c r="A23" s="56"/>
      <c r="B23" s="57"/>
      <c r="C23" s="57"/>
    </row>
    <row r="24" spans="1:3" ht="20.5" hidden="1" thickBot="1" x14ac:dyDescent="0.4">
      <c r="A24" s="56" t="s">
        <v>38</v>
      </c>
      <c r="B24" s="57"/>
      <c r="C24" s="57"/>
    </row>
    <row r="25" spans="1:3" ht="20.5" hidden="1" thickBot="1" x14ac:dyDescent="0.4">
      <c r="A25" s="56" t="s">
        <v>39</v>
      </c>
      <c r="B25" s="57"/>
      <c r="C25" s="57"/>
    </row>
    <row r="26" spans="1:3" ht="20.5" hidden="1" thickBot="1" x14ac:dyDescent="0.4">
      <c r="A26" s="56" t="s">
        <v>40</v>
      </c>
      <c r="B26" s="57"/>
      <c r="C26" s="57"/>
    </row>
    <row r="27" spans="1:3" ht="20.5" hidden="1" thickBot="1" x14ac:dyDescent="0.4">
      <c r="A27" s="56" t="s">
        <v>21</v>
      </c>
      <c r="B27" s="57"/>
      <c r="C27" s="57"/>
    </row>
    <row r="28" spans="1:3" ht="33.5" thickBot="1" x14ac:dyDescent="0.4">
      <c r="A28" s="53" t="s">
        <v>92</v>
      </c>
      <c r="B28" s="54"/>
      <c r="C28" s="55">
        <f>+C20-C21</f>
        <v>39595.949999999997</v>
      </c>
    </row>
  </sheetData>
  <mergeCells count="2">
    <mergeCell ref="A1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D702-E1EE-4BD6-B68F-6C51E9C82F10}">
  <dimension ref="A1:L39"/>
  <sheetViews>
    <sheetView topLeftCell="A17" zoomScale="87" workbookViewId="0">
      <selection activeCell="M2" sqref="M2"/>
    </sheetView>
  </sheetViews>
  <sheetFormatPr baseColWidth="10" defaultRowHeight="14.5" x14ac:dyDescent="0.35"/>
  <cols>
    <col min="1" max="1" width="36" customWidth="1"/>
    <col min="2" max="2" width="23.08984375" hidden="1" customWidth="1"/>
    <col min="3" max="3" width="4" hidden="1" customWidth="1"/>
    <col min="4" max="4" width="30.90625" customWidth="1"/>
    <col min="5" max="5" width="27" customWidth="1"/>
    <col min="6" max="6" width="0" hidden="1" customWidth="1"/>
    <col min="7" max="7" width="15.453125" hidden="1" customWidth="1"/>
    <col min="8" max="8" width="0" hidden="1" customWidth="1"/>
    <col min="9" max="9" width="15.453125" hidden="1" customWidth="1"/>
    <col min="10" max="10" width="15.6328125" customWidth="1"/>
    <col min="11" max="11" width="27.54296875" style="62" customWidth="1"/>
    <col min="12" max="12" width="18.453125" style="62" customWidth="1"/>
  </cols>
  <sheetData>
    <row r="1" spans="1:12" ht="25" x14ac:dyDescent="0.35">
      <c r="A1" s="58" t="s">
        <v>67</v>
      </c>
      <c r="B1" s="59"/>
      <c r="C1" s="59"/>
      <c r="D1" s="60"/>
      <c r="E1" s="61"/>
    </row>
    <row r="2" spans="1:12" ht="56.25" customHeight="1" thickBot="1" x14ac:dyDescent="0.4">
      <c r="B2" s="63"/>
      <c r="C2" s="63"/>
      <c r="J2" s="64"/>
      <c r="K2" s="65"/>
    </row>
    <row r="3" spans="1:12" ht="18.5" thickBot="1" x14ac:dyDescent="0.45">
      <c r="A3" s="66" t="s">
        <v>41</v>
      </c>
      <c r="B3" s="67">
        <v>2013</v>
      </c>
      <c r="C3" s="67">
        <v>2013</v>
      </c>
      <c r="D3" s="68" t="s">
        <v>42</v>
      </c>
      <c r="E3" s="69" t="s">
        <v>43</v>
      </c>
    </row>
    <row r="4" spans="1:12" ht="17.5" x14ac:dyDescent="0.35">
      <c r="A4" s="70" t="s">
        <v>44</v>
      </c>
      <c r="B4" s="71">
        <v>1200</v>
      </c>
      <c r="C4" s="72"/>
      <c r="D4" s="73">
        <f>350</f>
        <v>350</v>
      </c>
      <c r="E4" s="74"/>
      <c r="K4" s="75"/>
      <c r="L4" s="76"/>
    </row>
    <row r="5" spans="1:12" ht="17.5" x14ac:dyDescent="0.35">
      <c r="A5" s="77" t="s">
        <v>45</v>
      </c>
      <c r="B5" s="78">
        <v>700</v>
      </c>
      <c r="C5" s="79"/>
      <c r="D5" s="80">
        <v>2800</v>
      </c>
      <c r="E5" s="74"/>
      <c r="K5" s="81"/>
      <c r="L5" s="76"/>
    </row>
    <row r="6" spans="1:12" ht="17.5" x14ac:dyDescent="0.35">
      <c r="A6" s="77" t="s">
        <v>46</v>
      </c>
      <c r="B6" s="78">
        <v>250</v>
      </c>
      <c r="D6" s="73">
        <v>1100</v>
      </c>
      <c r="E6" s="74"/>
      <c r="G6" s="3">
        <f>350*2</f>
        <v>700</v>
      </c>
      <c r="K6" s="81"/>
      <c r="L6" s="76"/>
    </row>
    <row r="7" spans="1:12" ht="35" x14ac:dyDescent="0.35">
      <c r="A7" s="82" t="s">
        <v>47</v>
      </c>
      <c r="B7" s="78">
        <v>500</v>
      </c>
      <c r="C7" s="79"/>
      <c r="D7" s="73">
        <v>500</v>
      </c>
      <c r="E7" s="74"/>
      <c r="K7" s="81"/>
      <c r="L7" s="76"/>
    </row>
    <row r="8" spans="1:12" ht="17.5" x14ac:dyDescent="0.35">
      <c r="A8" s="77" t="s">
        <v>48</v>
      </c>
      <c r="B8" s="78">
        <v>250</v>
      </c>
      <c r="C8" s="79"/>
      <c r="D8" s="73">
        <v>16200</v>
      </c>
      <c r="E8" s="74"/>
      <c r="K8" s="83"/>
      <c r="L8" s="76"/>
    </row>
    <row r="9" spans="1:12" ht="17.5" x14ac:dyDescent="0.35">
      <c r="A9" s="77" t="s">
        <v>49</v>
      </c>
      <c r="B9" s="78">
        <v>1250</v>
      </c>
      <c r="C9" s="79"/>
      <c r="D9" s="84">
        <v>2500</v>
      </c>
      <c r="E9" s="74"/>
      <c r="K9" s="83"/>
      <c r="L9" s="76"/>
    </row>
    <row r="10" spans="1:12" ht="35" x14ac:dyDescent="0.35">
      <c r="A10" s="85" t="s">
        <v>50</v>
      </c>
      <c r="B10" s="78">
        <v>1250</v>
      </c>
      <c r="C10" s="79"/>
      <c r="D10" s="73">
        <v>15000</v>
      </c>
      <c r="E10" s="74"/>
      <c r="K10" s="83"/>
      <c r="L10" s="76"/>
    </row>
    <row r="11" spans="1:12" ht="35" hidden="1" x14ac:dyDescent="0.35">
      <c r="A11" s="85" t="s">
        <v>51</v>
      </c>
      <c r="B11" s="78">
        <v>2500</v>
      </c>
      <c r="C11" s="79"/>
      <c r="D11" s="73"/>
      <c r="E11" s="74"/>
      <c r="K11" s="83"/>
      <c r="L11" s="76"/>
    </row>
    <row r="12" spans="1:12" ht="17.5" x14ac:dyDescent="0.35">
      <c r="A12" s="77" t="s">
        <v>52</v>
      </c>
      <c r="B12" s="78">
        <v>1800</v>
      </c>
      <c r="C12" s="79"/>
      <c r="D12" s="73">
        <v>4500</v>
      </c>
      <c r="E12" s="74"/>
      <c r="K12" s="83"/>
      <c r="L12" s="76"/>
    </row>
    <row r="13" spans="1:12" ht="17.5" x14ac:dyDescent="0.35">
      <c r="A13" s="77" t="s">
        <v>53</v>
      </c>
      <c r="B13" s="78">
        <v>1000</v>
      </c>
      <c r="C13" s="79"/>
      <c r="D13" s="73">
        <v>500</v>
      </c>
      <c r="E13" s="74"/>
      <c r="K13" s="83"/>
      <c r="L13" s="76"/>
    </row>
    <row r="14" spans="1:12" ht="17.5" x14ac:dyDescent="0.35">
      <c r="A14" s="77" t="s">
        <v>105</v>
      </c>
      <c r="B14" s="78"/>
      <c r="C14" s="79"/>
      <c r="D14" s="73">
        <v>2000</v>
      </c>
      <c r="E14" s="74"/>
      <c r="K14" s="83"/>
      <c r="L14" s="76"/>
    </row>
    <row r="15" spans="1:12" ht="17.5" x14ac:dyDescent="0.35">
      <c r="A15" s="77" t="s">
        <v>54</v>
      </c>
      <c r="B15" s="78">
        <v>1000</v>
      </c>
      <c r="C15" s="79"/>
      <c r="D15" s="86">
        <v>3000</v>
      </c>
      <c r="E15" s="87"/>
      <c r="K15" s="83"/>
      <c r="L15" s="76"/>
    </row>
    <row r="16" spans="1:12" ht="17.5" hidden="1" x14ac:dyDescent="0.35">
      <c r="A16" s="77" t="s">
        <v>55</v>
      </c>
      <c r="B16" s="78"/>
      <c r="C16" s="79"/>
      <c r="D16" s="86"/>
      <c r="E16" s="88"/>
      <c r="K16" s="83"/>
      <c r="L16" s="76"/>
    </row>
    <row r="17" spans="1:12" ht="17.5" x14ac:dyDescent="0.35">
      <c r="A17" s="77" t="s">
        <v>56</v>
      </c>
      <c r="B17" s="78">
        <v>4680</v>
      </c>
      <c r="C17" s="79"/>
      <c r="D17" s="89">
        <f>(7*260)+(3*380)</f>
        <v>2960</v>
      </c>
      <c r="E17" s="74"/>
      <c r="K17" s="83"/>
      <c r="L17" s="76"/>
    </row>
    <row r="18" spans="1:12" ht="17.5" x14ac:dyDescent="0.35">
      <c r="A18" s="77" t="s">
        <v>57</v>
      </c>
      <c r="B18" s="78">
        <v>400</v>
      </c>
      <c r="C18" s="79"/>
      <c r="D18" s="89">
        <v>2000</v>
      </c>
      <c r="E18" s="74"/>
      <c r="K18" s="91"/>
      <c r="L18" s="76"/>
    </row>
    <row r="19" spans="1:12" ht="17.5" x14ac:dyDescent="0.35">
      <c r="A19" s="77" t="s">
        <v>58</v>
      </c>
      <c r="B19" s="92">
        <v>300</v>
      </c>
      <c r="C19" s="93"/>
      <c r="D19" s="89">
        <v>2800</v>
      </c>
      <c r="E19" s="74"/>
      <c r="K19" s="91"/>
      <c r="L19" s="76"/>
    </row>
    <row r="20" spans="1:12" ht="17.5" x14ac:dyDescent="0.35">
      <c r="A20" s="77" t="s">
        <v>59</v>
      </c>
      <c r="B20" s="92"/>
      <c r="C20" s="93"/>
      <c r="D20" s="89">
        <v>3000</v>
      </c>
      <c r="E20" s="74"/>
      <c r="K20" s="94"/>
      <c r="L20" s="95" t="s">
        <v>72</v>
      </c>
    </row>
    <row r="21" spans="1:12" ht="17.5" x14ac:dyDescent="0.35">
      <c r="A21" s="77" t="s">
        <v>60</v>
      </c>
      <c r="B21" s="92"/>
      <c r="C21" s="93"/>
      <c r="D21" s="89">
        <v>1000</v>
      </c>
      <c r="E21" s="74"/>
      <c r="K21" s="94"/>
      <c r="L21" s="95"/>
    </row>
    <row r="22" spans="1:12" ht="17.5" x14ac:dyDescent="0.35">
      <c r="A22" s="77" t="s">
        <v>61</v>
      </c>
      <c r="B22" s="92">
        <v>300</v>
      </c>
      <c r="C22" s="93"/>
      <c r="D22" s="89">
        <v>200</v>
      </c>
      <c r="E22" s="74"/>
    </row>
    <row r="23" spans="1:12" ht="17.5" x14ac:dyDescent="0.35">
      <c r="A23" s="77" t="s">
        <v>62</v>
      </c>
      <c r="B23" s="92">
        <v>150</v>
      </c>
      <c r="C23" s="93"/>
      <c r="D23" s="96">
        <v>3500</v>
      </c>
      <c r="E23" s="74"/>
    </row>
    <row r="24" spans="1:12" ht="17.5" x14ac:dyDescent="0.35">
      <c r="A24" s="82"/>
      <c r="B24" s="92"/>
      <c r="C24" s="93"/>
      <c r="D24" s="192">
        <v>16500</v>
      </c>
      <c r="E24" s="74"/>
    </row>
    <row r="25" spans="1:12" ht="17.5" x14ac:dyDescent="0.35">
      <c r="A25" s="77"/>
      <c r="B25" s="92"/>
      <c r="C25" s="93"/>
      <c r="D25" s="193"/>
      <c r="E25" s="74"/>
    </row>
    <row r="26" spans="1:12" ht="17.5" x14ac:dyDescent="0.35">
      <c r="A26" s="77" t="s">
        <v>73</v>
      </c>
      <c r="B26" s="92">
        <v>500</v>
      </c>
      <c r="C26" s="93"/>
      <c r="D26" s="193"/>
      <c r="E26" s="74"/>
    </row>
    <row r="27" spans="1:12" ht="17.5" x14ac:dyDescent="0.35">
      <c r="A27" s="77"/>
      <c r="B27" s="92"/>
      <c r="C27" s="97"/>
      <c r="D27" s="193"/>
      <c r="E27" s="74"/>
    </row>
    <row r="28" spans="1:12" ht="17.5" x14ac:dyDescent="0.35">
      <c r="A28" s="77"/>
      <c r="B28" s="92"/>
      <c r="C28" s="97"/>
      <c r="D28" s="194"/>
      <c r="E28" s="74"/>
    </row>
    <row r="29" spans="1:12" ht="17.5" x14ac:dyDescent="0.35">
      <c r="A29" s="77" t="s">
        <v>9</v>
      </c>
      <c r="B29" s="92"/>
      <c r="C29" s="98">
        <v>16500</v>
      </c>
      <c r="D29" s="96"/>
      <c r="E29" s="99">
        <v>31500</v>
      </c>
    </row>
    <row r="30" spans="1:12" ht="17.5" x14ac:dyDescent="0.35">
      <c r="A30" s="77" t="s">
        <v>63</v>
      </c>
      <c r="B30" s="92"/>
      <c r="C30" s="98">
        <v>23400</v>
      </c>
      <c r="D30" s="96"/>
      <c r="E30" s="99">
        <v>32410</v>
      </c>
    </row>
    <row r="31" spans="1:12" ht="17.5" x14ac:dyDescent="0.35">
      <c r="A31" s="77" t="s">
        <v>71</v>
      </c>
      <c r="B31" s="92"/>
      <c r="C31" s="100"/>
      <c r="D31" s="96"/>
      <c r="E31" s="99">
        <v>16500</v>
      </c>
    </row>
    <row r="32" spans="1:12" ht="17.5" x14ac:dyDescent="0.35">
      <c r="A32" s="77"/>
      <c r="B32" s="92"/>
      <c r="C32" s="93"/>
      <c r="D32" s="96"/>
      <c r="E32" s="99"/>
    </row>
    <row r="33" spans="1:10" ht="18" x14ac:dyDescent="0.4">
      <c r="A33" s="101" t="s">
        <v>64</v>
      </c>
      <c r="B33" s="102">
        <f>SUM(B4:B32)</f>
        <v>18030</v>
      </c>
      <c r="C33" s="103">
        <f>SUM(C29:C32)</f>
        <v>39900</v>
      </c>
      <c r="D33" s="104">
        <f>SUM(D4:D23)+D24</f>
        <v>80410</v>
      </c>
      <c r="E33" s="104">
        <f>SUM(E29:E32)</f>
        <v>80410</v>
      </c>
      <c r="J33" s="105">
        <f>SUM(D33-E33)</f>
        <v>0</v>
      </c>
    </row>
    <row r="34" spans="1:10" ht="15" thickBot="1" x14ac:dyDescent="0.4">
      <c r="A34" s="106"/>
      <c r="B34" s="107"/>
      <c r="C34" s="108"/>
      <c r="D34" s="109"/>
      <c r="E34" s="110"/>
    </row>
    <row r="35" spans="1:10" x14ac:dyDescent="0.35">
      <c r="B35" s="63"/>
      <c r="C35" s="63"/>
    </row>
    <row r="36" spans="1:10" hidden="1" x14ac:dyDescent="0.35">
      <c r="A36" t="s">
        <v>65</v>
      </c>
      <c r="B36" s="111" t="s">
        <v>66</v>
      </c>
      <c r="C36" s="111"/>
      <c r="E36" s="90"/>
    </row>
    <row r="37" spans="1:10" x14ac:dyDescent="0.35">
      <c r="B37" s="63"/>
      <c r="C37" s="63"/>
      <c r="D37" s="105"/>
      <c r="E37" s="105"/>
    </row>
    <row r="39" spans="1:10" x14ac:dyDescent="0.35">
      <c r="E39" s="90"/>
    </row>
  </sheetData>
  <mergeCells count="1">
    <mergeCell ref="D24:D28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8731832-40da-4546-9203-f68390800051}" enabled="0" method="" siteId="{98731832-40da-4546-9203-f683908000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BILAN FONCTIONNEL</vt:lpstr>
      <vt:lpstr>RESULTAT</vt:lpstr>
      <vt:lpstr>BILAN PREVISIONNEL</vt:lpstr>
    </vt:vector>
  </TitlesOfParts>
  <Company>VINCI Construction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Judith</dc:creator>
  <cp:lastModifiedBy>Beaudelaire Vilmé</cp:lastModifiedBy>
  <dcterms:created xsi:type="dcterms:W3CDTF">2025-03-17T21:19:08Z</dcterms:created>
  <dcterms:modified xsi:type="dcterms:W3CDTF">2026-04-17T16:21:59Z</dcterms:modified>
</cp:coreProperties>
</file>